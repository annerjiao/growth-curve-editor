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40" tabRatio="600" firstSheet="0" activeTab="2" autoFilterDateGrouping="1"/>
  </bookViews>
  <sheets>
    <sheet name="Cover" sheetId="1" state="visible" r:id="rId1"/>
    <sheet name="Start Here" sheetId="2" state="visible" r:id="rId2"/>
    <sheet name="Summary" sheetId="3" state="visible" r:id="rId3"/>
    <sheet name="Detailed" sheetId="4" state="visible" r:id="rId4"/>
    <sheet name="Assumptions" sheetId="5" state="visible" r:id="rId5"/>
    <sheet name="Case Filte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\(&quot;$&quot;#,##0\)"/>
    <numFmt numFmtId="166" formatCode="mm/dd/yyyy"/>
    <numFmt numFmtId="167" formatCode="&quot;$&quot;#,##0.00;\(&quot;$&quot;#,##0.00\)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b val="1"/>
      <color rgb="FF000000"/>
    </font>
    <font>
      <b val="1"/>
    </font>
  </fonts>
  <fills count="1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DFDA"/>
      </patternFill>
    </fill>
    <fill>
      <patternFill patternType="solid">
        <f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3" fontId="0" fillId="0" borderId="0" pivotButton="0" quotePrefix="0" xfId="0"/>
    <xf numFmtId="0" fontId="4" fillId="5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6" borderId="0" pivotButton="0" quotePrefix="0" xfId="0"/>
    <xf numFmtId="3" fontId="0" fillId="7" borderId="0" pivotButton="0" quotePrefix="0" xfId="0"/>
    <xf numFmtId="3" fontId="0" fillId="8" borderId="0" pivotButton="0" quotePrefix="0" xfId="0"/>
    <xf numFmtId="164" fontId="0" fillId="7" borderId="0" pivotButton="0" quotePrefix="0" xfId="0"/>
    <xf numFmtId="164" fontId="0" fillId="8" borderId="0" pivotButton="0" quotePrefix="0" xfId="0"/>
    <xf numFmtId="165" fontId="0" fillId="7" borderId="0" pivotButton="0" quotePrefix="0" xfId="0"/>
    <xf numFmtId="165" fontId="0" fillId="8" borderId="0" pivotButton="0" quotePrefix="0" xfId="0"/>
    <xf numFmtId="167" fontId="0" fillId="7" borderId="0" pivotButton="0" quotePrefix="0" xfId="0"/>
    <xf numFmtId="0" fontId="7" fillId="0" borderId="0" pivotButton="0" quotePrefix="0" xfId="0"/>
    <xf numFmtId="166" fontId="0" fillId="0" borderId="0" pivotButton="0" quotePrefix="0" xfId="0"/>
    <xf numFmtId="167" fontId="0" fillId="7" borderId="0" pivotButton="0" quotePrefix="0" xfId="0"/>
    <xf numFmtId="0" fontId="8" fillId="9" borderId="0" pivotButton="0" quotePrefix="0" xfId="0"/>
    <xf numFmtId="0" fontId="9" fillId="0" borderId="0" pivotButton="0" quotePrefix="0" xfId="0"/>
    <xf numFmtId="3" fontId="0" fillId="9" borderId="0" pivotButton="0" quotePrefix="0" xfId="0"/>
    <xf numFmtId="164" fontId="0" fillId="9" borderId="0" pivotButton="0" quotePrefix="0" xfId="0"/>
    <xf numFmtId="165" fontId="0" fillId="9" borderId="0" pivotButton="0" quotePrefix="0" xfId="0"/>
    <xf numFmtId="165" fontId="8" fillId="9" borderId="0" pivotButton="0" quotePrefix="0" xfId="0"/>
    <xf numFmtId="167" fontId="8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showGridLines="0" workbookViewId="0">
      <selection activeCell="A1" sqref="A1"/>
    </sheetView>
  </sheetViews>
  <sheetFormatPr baseColWidth="10" defaultColWidth="8.83203125" defaultRowHeight="15"/>
  <cols>
    <col width="34" customWidth="1" min="2" max="2"/>
    <col width="22" customWidth="1" min="4" max="4"/>
  </cols>
  <sheetData>
    <row r="3" ht="19" customHeight="1">
      <c r="B3" s="25" t="inlineStr">
        <is>
          <t>PUT YOUR STARTUP NAME HERE</t>
        </is>
      </c>
    </row>
    <row r="4" ht="16" customHeight="1">
      <c r="B4" s="2" t="inlineStr">
        <is>
          <t>3-Year Financial Projection</t>
        </is>
      </c>
    </row>
    <row r="6">
      <c r="B6" s="25" t="inlineStr">
        <is>
          <t>DETERMINE YOUR PRICING MODEL (e.g. Free tier + Pro $X/mo)</t>
        </is>
      </c>
    </row>
    <row r="7">
      <c r="B7" t="inlineStr">
        <is>
          <t>Last Updated: 06/23/2026</t>
        </is>
      </c>
    </row>
    <row r="8">
      <c r="B8" t="inlineStr">
        <is>
          <t>Active Case:</t>
        </is>
      </c>
      <c r="E8">
        <f>Detailed!$C$3</f>
        <v/>
      </c>
    </row>
    <row r="10">
      <c r="B10" s="25" t="inlineStr">
        <is>
          <t>FILL IN WHAT YOU HAVE IN THE BANK NOW — also set Case Filter → Initial funding (C53)</t>
        </is>
      </c>
    </row>
    <row r="11">
      <c r="B11" t="inlineStr">
        <is>
          <t>Generic 3-year SaaS template — edit orange cells, then use the Growth Curve Editor for signups.</t>
        </is>
      </c>
    </row>
    <row r="13">
      <c r="B13" t="inlineStr">
        <is>
          <t>Legend:</t>
        </is>
      </c>
    </row>
    <row r="14">
      <c r="D14" s="3" t="inlineStr">
        <is>
          <t>Hardcoded input</t>
        </is>
      </c>
    </row>
    <row r="15">
      <c r="D15" t="inlineStr">
        <is>
          <t>Formula</t>
        </is>
      </c>
    </row>
    <row r="16">
      <c r="D16" t="inlineStr">
        <is>
          <t>Links to another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6"/>
  <sheetViews>
    <sheetView topLeftCell="A48" workbookViewId="0">
      <selection activeCell="B40" sqref="B40"/>
    </sheetView>
  </sheetViews>
  <sheetFormatPr baseColWidth="10" defaultColWidth="8.83203125" defaultRowHeight="15"/>
  <cols>
    <col width="85" customWidth="1" min="2" max="2"/>
  </cols>
  <sheetData>
    <row r="2" ht="19" customHeight="1">
      <c r="B2" s="1" t="inlineStr">
        <is>
          <t>How to use this model (4 scenarios)</t>
        </is>
      </c>
    </row>
    <row r="4">
      <c r="B4" t="inlineStr">
        <is>
          <t>Case Filter C1: 0=Base | 1=Upside | 2=Downside | 3=Upside-Upside</t>
        </is>
      </c>
    </row>
    <row r="5">
      <c r="B5" t="inlineStr">
        <is>
          <t>Start with Base Case only. Use the Growth Curve Editor to shape signups, then tune other scenarios.</t>
        </is>
      </c>
    </row>
    <row r="7">
      <c r="B7" t="inlineStr">
        <is>
          <t>Orange cells = your inputs. Yellow monthly rows on Case Filter = growth drivers (edit Base Case first).</t>
        </is>
      </c>
    </row>
    <row r="8">
      <c r="B8" t="inlineStr">
        <is>
          <t>4. Set unit economics (price, COGS, salary, initial funding) on Case Filter column C</t>
        </is>
      </c>
    </row>
    <row r="9">
      <c r="B9" t="inlineStr">
        <is>
          <t>5. Detailed tab fills automatically; Summary shows Year 1–3 totals</t>
        </is>
      </c>
    </row>
    <row r="11">
      <c r="B11" t="inlineStr">
        <is>
          <t>IF YOU SEE #VALUE! ERRORS:</t>
        </is>
      </c>
    </row>
    <row r="12">
      <c r="B12" t="inlineStr">
        <is>
          <t>• Press Cmd+Shift+K (Mac) or Ctrl+Alt+F9 (Windows) to force recalculate</t>
        </is>
      </c>
    </row>
    <row r="13">
      <c r="B13" t="inlineStr">
        <is>
          <t>• Ensure Case Filter C1 is 0, 1, or 2 (not blank)</t>
        </is>
      </c>
    </row>
    <row r="14">
      <c r="B14" t="inlineStr">
        <is>
          <t>• Re-open the file after saving (old version had circular formula bugs — fixed)</t>
        </is>
      </c>
    </row>
    <row r="16">
      <c r="B16" t="inlineStr">
        <is>
          <t>KEY ASSUMPTIONS YOU SHOULD SET:</t>
        </is>
      </c>
    </row>
    <row r="18">
      <c r="B18" t="inlineStr">
        <is>
          <t>Growth (Case Filter, yellow monthly rows):</t>
        </is>
      </c>
    </row>
    <row r="19">
      <c r="B19" t="inlineStr">
        <is>
          <t xml:space="preserve">  • New user signups / month — how many people create accounts</t>
        </is>
      </c>
    </row>
    <row r="20">
      <c r="B20" t="inlineStr">
        <is>
          <t xml:space="preserve">  • Free → Pro conversion % — share of new signups who subscribe same month</t>
        </is>
      </c>
    </row>
    <row r="21">
      <c r="B21" t="inlineStr">
        <is>
          <t xml:space="preserve">  • Pro monthly churn % — share of Pro subs who cancel each month</t>
        </is>
      </c>
    </row>
    <row r="22">
      <c r="B22" t="inlineStr">
        <is>
          <t xml:space="preserve">  • Composer runs / Pro sub / month — avg AI usage (use 25 typical, 300 for 10/day stress)</t>
        </is>
      </c>
    </row>
    <row r="23">
      <c r="B23" t="inlineStr">
        <is>
          <t xml:space="preserve">  • Paid marketing spend / month</t>
        </is>
      </c>
    </row>
    <row r="25">
      <c r="B25" t="inlineStr">
        <is>
          <t>Unit economics (Case Filter column C):</t>
        </is>
      </c>
    </row>
    <row r="26">
      <c r="B26" t="inlineStr">
        <is>
          <t xml:space="preserve">  • Pro price ($15 default)</t>
        </is>
      </c>
    </row>
    <row r="27">
      <c r="B27" t="inlineStr">
        <is>
          <t xml:space="preserve">  • Composer COGS per run ($0.104 = typical Sonnet run; calibrate from Supabase)</t>
        </is>
      </c>
    </row>
    <row r="28">
      <c r="B28" t="inlineStr">
        <is>
          <t xml:space="preserve">  • Free user lifetime COGS ($2.80 for 5 free compositions)</t>
        </is>
      </c>
    </row>
    <row r="29">
      <c r="B29" t="inlineStr">
        <is>
          <t xml:space="preserve">  • Founder salary by year</t>
        </is>
      </c>
    </row>
    <row r="30">
      <c r="B30" t="inlineStr">
        <is>
          <t xml:space="preserve">  • Initial funding ($50,000)</t>
        </is>
      </c>
    </row>
    <row r="32">
      <c r="B32" t="inlineStr">
        <is>
          <t>Suggested Base Case starting points (already pre-filled):</t>
        </is>
      </c>
    </row>
    <row r="33">
      <c r="B33" t="inlineStr">
        <is>
          <t xml:space="preserve">  • Signups: 80/mo ramping to 1,250/mo by month 36</t>
        </is>
      </c>
    </row>
    <row r="34">
      <c r="B34" t="inlineStr">
        <is>
          <t xml:space="preserve">  • Conversion: 5% → 12% over 3 years</t>
        </is>
      </c>
    </row>
    <row r="35">
      <c r="B35" t="inlineStr">
        <is>
          <t xml:space="preserve">  • Churn: 6% → 4%/mo</t>
        </is>
      </c>
    </row>
    <row r="36">
      <c r="B36" t="inlineStr">
        <is>
          <t xml:space="preserve">  • Composer runs: 18–28/mo per Pro sub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selection activeCell="A1" sqref="A1"/>
    </sheetView>
  </sheetViews>
  <sheetFormatPr baseColWidth="10" defaultColWidth="8.83203125" defaultRowHeight="15"/>
  <cols>
    <col width="36" customWidth="1" min="2" max="2"/>
    <col width="14" customWidth="1" min="3" max="5"/>
  </cols>
  <sheetData>
    <row r="1" ht="19" customHeight="1">
      <c r="B1" s="25" t="inlineStr">
        <is>
          <t>PUT YOUR STARTUP NAME HERE</t>
        </is>
      </c>
    </row>
    <row r="2">
      <c r="B2" t="inlineStr">
        <is>
          <t>3-Year Projection — Summary</t>
        </is>
      </c>
    </row>
    <row r="3">
      <c r="B3">
        <f>"Active Case: "&amp;Detailed!C3</f>
        <v/>
      </c>
    </row>
    <row r="5">
      <c r="B5" t="inlineStr">
        <is>
          <t>($ Actual)</t>
        </is>
      </c>
      <c r="C5" s="4" t="inlineStr">
        <is>
          <t>Year 1</t>
        </is>
      </c>
      <c r="D5" s="4" t="inlineStr">
        <is>
          <t>Year 2</t>
        </is>
      </c>
      <c r="E5" s="4" t="inlineStr">
        <is>
          <t>Year 3</t>
        </is>
      </c>
    </row>
    <row r="7">
      <c r="A7" t="inlineStr">
        <is>
          <t>x</t>
        </is>
      </c>
      <c r="B7" s="5" t="inlineStr">
        <is>
          <t>User &amp; Subscriber Statistics</t>
        </is>
      </c>
    </row>
    <row r="9">
      <c r="B9" t="inlineStr">
        <is>
          <t>New signups</t>
        </is>
      </c>
      <c r="C9">
        <f>SUM(Detailed!C9,Detailed!D9,Detailed!E9,Detailed!F9,Detailed!G9,Detailed!H9,Detailed!I9,Detailed!J9,Detailed!K9,Detailed!L9,Detailed!M9,Detailed!N9)</f>
        <v/>
      </c>
      <c r="D9">
        <f>SUM(Detailed!O9,Detailed!P9,Detailed!Q9,Detailed!R9,Detailed!S9,Detailed!T9,Detailed!U9,Detailed!V9,Detailed!W9,Detailed!X9,Detailed!Y9,Detailed!Z9)</f>
        <v/>
      </c>
      <c r="E9">
        <f>SUM(Detailed!AA9,Detailed!AB9,Detailed!AC9,Detailed!AD9,Detailed!AE9,Detailed!AF9,Detailed!AG9,Detailed!AH9,Detailed!AI9,Detailed!AJ9,Detailed!AK9,Detailed!AL9)</f>
        <v/>
      </c>
    </row>
    <row r="10">
      <c r="B10" t="inlineStr">
        <is>
          <t>Ending Pro subscribers</t>
        </is>
      </c>
      <c r="C10">
        <f>Detailed!N13</f>
        <v/>
      </c>
      <c r="D10">
        <f>Detailed!Z13</f>
        <v/>
      </c>
      <c r="E10">
        <f>Detailed!AL13</f>
        <v/>
      </c>
    </row>
    <row r="11">
      <c r="B11" t="inlineStr">
        <is>
          <t>Ending total users</t>
        </is>
      </c>
      <c r="C11">
        <f>Detailed!N14</f>
        <v/>
      </c>
      <c r="D11">
        <f>Detailed!Z14</f>
        <v/>
      </c>
      <c r="E11">
        <f>Detailed!AL14</f>
        <v/>
      </c>
    </row>
    <row r="12">
      <c r="B12" t="inlineStr">
        <is>
          <t>Pro as % of users (year end)</t>
        </is>
      </c>
      <c r="C12" s="6">
        <f>Detailed!N16</f>
        <v/>
      </c>
      <c r="D12" s="6">
        <f>Detailed!Z16</f>
        <v/>
      </c>
      <c r="E12" s="6">
        <f>Detailed!AL16</f>
        <v/>
      </c>
    </row>
    <row r="13">
      <c r="B13" t="inlineStr">
        <is>
          <t>Average Pro subscribers</t>
        </is>
      </c>
      <c r="C13">
        <f>AVERAGE(Detailed!C13,Detailed!D13,Detailed!E13,Detailed!F13,Detailed!G13,Detailed!H13,Detailed!I13,Detailed!J13,Detailed!K13,Detailed!L13,Detailed!M13,Detailed!N13)</f>
        <v/>
      </c>
      <c r="D13">
        <f>AVERAGE(Detailed!O13,Detailed!P13,Detailed!Q13,Detailed!R13,Detailed!S13,Detailed!T13,Detailed!U13,Detailed!V13,Detailed!W13,Detailed!X13,Detailed!Y13,Detailed!Z13)</f>
        <v/>
      </c>
      <c r="E13">
        <f>AVERAGE(Detailed!AA13,Detailed!AB13,Detailed!AC13,Detailed!AD13,Detailed!AE13,Detailed!AF13,Detailed!AG13,Detailed!AH13,Detailed!AI13,Detailed!AJ13,Detailed!AK13,Detailed!AL13)</f>
        <v/>
      </c>
    </row>
    <row r="15">
      <c r="A15" t="inlineStr">
        <is>
          <t>x</t>
        </is>
      </c>
      <c r="B15" s="5" t="inlineStr">
        <is>
          <t>P&amp;L Summary</t>
        </is>
      </c>
    </row>
    <row r="17">
      <c r="B17" t="inlineStr">
        <is>
          <t>Gross MRR</t>
        </is>
      </c>
      <c r="C17" s="7">
        <f>SUM(Detailed!C19,Detailed!D19,Detailed!E19,Detailed!F19,Detailed!G19,Detailed!H19,Detailed!I19,Detailed!J19,Detailed!K19,Detailed!L19,Detailed!M19,Detailed!N19)</f>
        <v/>
      </c>
      <c r="D17" s="7">
        <f>SUM(Detailed!O19,Detailed!P19,Detailed!Q19,Detailed!R19,Detailed!S19,Detailed!T19,Detailed!U19,Detailed!V19,Detailed!W19,Detailed!X19,Detailed!Y19,Detailed!Z19)</f>
        <v/>
      </c>
      <c r="E17" s="7">
        <f>SUM(Detailed!AA19,Detailed!AB19,Detailed!AC19,Detailed!AD19,Detailed!AE19,Detailed!AF19,Detailed!AG19,Detailed!AH19,Detailed!AI19,Detailed!AJ19,Detailed!AK19,Detailed!AL19)</f>
        <v/>
      </c>
    </row>
    <row r="18">
      <c r="B18" t="inlineStr">
        <is>
          <t>Net revenue</t>
        </is>
      </c>
      <c r="C18" s="7">
        <f>SUM(Detailed!C21,Detailed!D21,Detailed!E21,Detailed!F21,Detailed!G21,Detailed!H21,Detailed!I21,Detailed!J21,Detailed!K21,Detailed!L21,Detailed!M21,Detailed!N21)</f>
        <v/>
      </c>
      <c r="D18" s="7">
        <f>SUM(Detailed!O21,Detailed!P21,Detailed!Q21,Detailed!R21,Detailed!S21,Detailed!T21,Detailed!U21,Detailed!V21,Detailed!W21,Detailed!X21,Detailed!Y21,Detailed!Z21)</f>
        <v/>
      </c>
      <c r="E18" s="7">
        <f>SUM(Detailed!AA21,Detailed!AB21,Detailed!AC21,Detailed!AD21,Detailed!AE21,Detailed!AF21,Detailed!AG21,Detailed!AH21,Detailed!AI21,Detailed!AJ21,Detailed!AK21,Detailed!AL21)</f>
        <v/>
      </c>
    </row>
    <row r="19">
      <c r="B19" t="inlineStr">
        <is>
          <t>Total variable COGS</t>
        </is>
      </c>
      <c r="C19" s="7">
        <f>SUM(Detailed!C25,Detailed!D25,Detailed!E25,Detailed!F25,Detailed!G25,Detailed!H25,Detailed!I25,Detailed!J25,Detailed!K25,Detailed!L25,Detailed!M25,Detailed!N25)</f>
        <v/>
      </c>
      <c r="D19" s="7">
        <f>SUM(Detailed!O25,Detailed!P25,Detailed!Q25,Detailed!R25,Detailed!S25,Detailed!T25,Detailed!U25,Detailed!V25,Detailed!W25,Detailed!X25,Detailed!Y25,Detailed!Z25)</f>
        <v/>
      </c>
      <c r="E19" s="7">
        <f>SUM(Detailed!AA25,Detailed!AB25,Detailed!AC25,Detailed!AD25,Detailed!AE25,Detailed!AF25,Detailed!AG25,Detailed!AH25,Detailed!AI25,Detailed!AJ25,Detailed!AK25,Detailed!AL25)</f>
        <v/>
      </c>
    </row>
    <row r="20">
      <c r="B20" t="inlineStr">
        <is>
          <t>Gross profit</t>
        </is>
      </c>
      <c r="C20" s="7">
        <f>SUM(Detailed!C26,Detailed!D26,Detailed!E26,Detailed!F26,Detailed!G26,Detailed!H26,Detailed!I26,Detailed!J26,Detailed!K26,Detailed!L26,Detailed!M26,Detailed!N26)</f>
        <v/>
      </c>
      <c r="D20" s="7">
        <f>SUM(Detailed!O26,Detailed!P26,Detailed!Q26,Detailed!R26,Detailed!S26,Detailed!T26,Detailed!U26,Detailed!V26,Detailed!W26,Detailed!X26,Detailed!Y26,Detailed!Z26)</f>
        <v/>
      </c>
      <c r="E20" s="7">
        <f>SUM(Detailed!AA26,Detailed!AB26,Detailed!AC26,Detailed!AD26,Detailed!AE26,Detailed!AF26,Detailed!AG26,Detailed!AH26,Detailed!AI26,Detailed!AJ26,Detailed!AK26,Detailed!AL26)</f>
        <v/>
      </c>
    </row>
    <row r="21">
      <c r="B21" t="inlineStr">
        <is>
          <t>Total operating expenses</t>
        </is>
      </c>
      <c r="C21" s="7">
        <f>SUM(Detailed!C36,Detailed!D36,Detailed!E36,Detailed!F36,Detailed!G36,Detailed!H36,Detailed!I36,Detailed!J36,Detailed!K36,Detailed!L36,Detailed!M36,Detailed!N36)</f>
        <v/>
      </c>
      <c r="D21" s="7">
        <f>SUM(Detailed!O36,Detailed!P36,Detailed!Q36,Detailed!R36,Detailed!S36,Detailed!T36,Detailed!U36,Detailed!V36,Detailed!W36,Detailed!X36,Detailed!Y36,Detailed!Z36)</f>
        <v/>
      </c>
      <c r="E21" s="7">
        <f>SUM(Detailed!AA36,Detailed!AB36,Detailed!AC36,Detailed!AD36,Detailed!AE36,Detailed!AF36,Detailed!AG36,Detailed!AH36,Detailed!AI36,Detailed!AJ36,Detailed!AK36,Detailed!AL36)</f>
        <v/>
      </c>
    </row>
    <row r="22">
      <c r="B22" t="inlineStr">
        <is>
          <t>EBITDA</t>
        </is>
      </c>
      <c r="C22" s="7">
        <f>SUM(Detailed!C38,Detailed!D38,Detailed!E38,Detailed!F38,Detailed!G38,Detailed!H38,Detailed!I38,Detailed!J38,Detailed!K38,Detailed!L38,Detailed!M38,Detailed!N38)</f>
        <v/>
      </c>
      <c r="D22" s="7">
        <f>SUM(Detailed!O38,Detailed!P38,Detailed!Q38,Detailed!R38,Detailed!S38,Detailed!T38,Detailed!U38,Detailed!V38,Detailed!W38,Detailed!X38,Detailed!Y38,Detailed!Z38)</f>
        <v/>
      </c>
      <c r="E22" s="7">
        <f>SUM(Detailed!AA38,Detailed!AB38,Detailed!AC38,Detailed!AD38,Detailed!AE38,Detailed!AF38,Detailed!AG38,Detailed!AH38,Detailed!AI38,Detailed!AJ38,Detailed!AK38,Detailed!AL38)</f>
        <v/>
      </c>
    </row>
    <row r="23">
      <c r="B23" t="inlineStr">
        <is>
          <t>Free cash flow</t>
        </is>
      </c>
      <c r="C23" s="7">
        <f>SUM(Detailed!C40,Detailed!D40,Detailed!E40,Detailed!F40,Detailed!G40,Detailed!H40,Detailed!I40,Detailed!J40,Detailed!K40,Detailed!L40,Detailed!M40,Detailed!N40)</f>
        <v/>
      </c>
      <c r="D23" s="7">
        <f>SUM(Detailed!O40,Detailed!P40,Detailed!Q40,Detailed!R40,Detailed!S40,Detailed!T40,Detailed!U40,Detailed!V40,Detailed!W40,Detailed!X40,Detailed!Y40,Detailed!Z40)</f>
        <v/>
      </c>
      <c r="E23" s="7">
        <f>SUM(Detailed!AA40,Detailed!AB40,Detailed!AC40,Detailed!AD40,Detailed!AE40,Detailed!AF40,Detailed!AG40,Detailed!AH40,Detailed!AI40,Detailed!AJ40,Detailed!AK40,Detailed!AL40)</f>
        <v/>
      </c>
    </row>
    <row r="24">
      <c r="B24" t="inlineStr">
        <is>
          <t>Gross margin %</t>
        </is>
      </c>
      <c r="C24" s="6">
        <f>IF(C18=0,"NM",C20/C18)</f>
        <v/>
      </c>
      <c r="D24" s="6">
        <f>IF(D18=0,"NM",D20/D18)</f>
        <v/>
      </c>
      <c r="E24" s="6">
        <f>IF(E18=0,"NM",E20/E18)</f>
        <v/>
      </c>
    </row>
    <row r="25">
      <c r="B25" t="inlineStr">
        <is>
          <t>EBITDA margin %</t>
        </is>
      </c>
      <c r="C25" s="6">
        <f>IF(C18=0,"NM",C22/C18)</f>
        <v/>
      </c>
      <c r="D25" s="6">
        <f>IF(D18=0,"NM",D22/D18)</f>
        <v/>
      </c>
      <c r="E25" s="6">
        <f>IF(E18=0,"NM",E22/E18)</f>
        <v/>
      </c>
    </row>
    <row r="27">
      <c r="A27" t="inlineStr">
        <is>
          <t>x</t>
        </is>
      </c>
      <c r="B27" s="5" t="inlineStr">
        <is>
          <t>Cash &amp; Funding</t>
        </is>
      </c>
    </row>
    <row r="29">
      <c r="B29" t="inlineStr">
        <is>
          <t>Initial funding</t>
        </is>
      </c>
      <c r="C29">
        <f>'Case Filter'!$C$48</f>
        <v/>
      </c>
    </row>
    <row r="30">
      <c r="B30" t="inlineStr">
        <is>
          <t>Minimum cash balance (year)</t>
        </is>
      </c>
      <c r="C30" s="7">
        <f>MIN(Detailed!C45,Detailed!D45,Detailed!E45,Detailed!F45,Detailed!G45,Detailed!H45,Detailed!I45,Detailed!J45,Detailed!K45,Detailed!L45,Detailed!M45,Detailed!N45)</f>
        <v/>
      </c>
      <c r="D30" s="7">
        <f>MIN(Detailed!O45,Detailed!P45,Detailed!Q45,Detailed!R45,Detailed!S45,Detailed!T45,Detailed!U45,Detailed!V45,Detailed!W45,Detailed!X45,Detailed!Y45,Detailed!Z45)</f>
        <v/>
      </c>
      <c r="E30" s="7">
        <f>MIN(Detailed!AA45,Detailed!AB45,Detailed!AC45,Detailed!AD45,Detailed!AE45,Detailed!AF45,Detailed!AG45,Detailed!AH45,Detailed!AI45,Detailed!AJ45,Detailed!AK45,Detailed!AL45)</f>
        <v/>
      </c>
    </row>
    <row r="31">
      <c r="B31" t="inlineStr">
        <is>
          <t>Ending cash (year end)</t>
        </is>
      </c>
      <c r="C31" s="7">
        <f>Detailed!N45</f>
        <v/>
      </c>
      <c r="D31" s="7">
        <f>Detailed!Z45</f>
        <v/>
      </c>
      <c r="E31" s="7">
        <f>Detailed!AL45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L46"/>
  <sheetViews>
    <sheetView workbookViewId="0">
      <selection activeCell="A1" sqref="A1"/>
    </sheetView>
  </sheetViews>
  <sheetFormatPr baseColWidth="10" defaultColWidth="8.83203125" defaultRowHeight="15"/>
  <cols>
    <col width="44" customWidth="1" min="2" max="2"/>
    <col width="12" customWidth="1" min="3" max="3"/>
  </cols>
  <sheetData>
    <row r="1" ht="19" customHeight="1">
      <c r="B1" s="25" t="inlineStr">
        <is>
          <t>PUT YOUR STARTUP NAME HERE — 3-Year Projection Details</t>
        </is>
      </c>
    </row>
    <row r="2">
      <c r="B2" t="inlineStr">
        <is>
          <t>Last Updated:</t>
        </is>
      </c>
      <c r="C2" s="23" t="n">
        <v>46196</v>
      </c>
    </row>
    <row r="3">
      <c r="B3" t="inlineStr">
        <is>
          <t>Active Case:</t>
        </is>
      </c>
      <c r="C3">
        <f>IF('Case Filter'!$C$1=0,"Base Case",IF('Case Filter'!$C$1=1,"Upside Case",IF('Case Filter'!$C$1=2,"Downside Case","Upside-Upside Case")))</f>
        <v/>
      </c>
    </row>
    <row r="5">
      <c r="B5" s="5" t="inlineStr">
        <is>
          <t>($ Actual)</t>
        </is>
      </c>
      <c r="C5" s="4" t="inlineStr">
        <is>
          <t>M1</t>
        </is>
      </c>
      <c r="D5" s="4" t="inlineStr">
        <is>
          <t>M2</t>
        </is>
      </c>
      <c r="E5" s="4" t="inlineStr">
        <is>
          <t>M3</t>
        </is>
      </c>
      <c r="F5" s="4" t="inlineStr">
        <is>
          <t>M4</t>
        </is>
      </c>
      <c r="G5" s="4" t="inlineStr">
        <is>
          <t>M5</t>
        </is>
      </c>
      <c r="H5" s="4" t="inlineStr">
        <is>
          <t>M6</t>
        </is>
      </c>
      <c r="I5" s="4" t="inlineStr">
        <is>
          <t>M7</t>
        </is>
      </c>
      <c r="J5" s="4" t="inlineStr">
        <is>
          <t>M8</t>
        </is>
      </c>
      <c r="K5" s="4" t="inlineStr">
        <is>
          <t>M9</t>
        </is>
      </c>
      <c r="L5" s="4" t="inlineStr">
        <is>
          <t>M10</t>
        </is>
      </c>
      <c r="M5" s="4" t="inlineStr">
        <is>
          <t>M11</t>
        </is>
      </c>
      <c r="N5" s="4" t="inlineStr">
        <is>
          <t>M12</t>
        </is>
      </c>
      <c r="O5" s="4" t="inlineStr">
        <is>
          <t>M13</t>
        </is>
      </c>
      <c r="P5" s="4" t="inlineStr">
        <is>
          <t>M14</t>
        </is>
      </c>
      <c r="Q5" s="4" t="inlineStr">
        <is>
          <t>M15</t>
        </is>
      </c>
      <c r="R5" s="4" t="inlineStr">
        <is>
          <t>M16</t>
        </is>
      </c>
      <c r="S5" s="4" t="inlineStr">
        <is>
          <t>M17</t>
        </is>
      </c>
      <c r="T5" s="4" t="inlineStr">
        <is>
          <t>M18</t>
        </is>
      </c>
      <c r="U5" s="4" t="inlineStr">
        <is>
          <t>M19</t>
        </is>
      </c>
      <c r="V5" s="4" t="inlineStr">
        <is>
          <t>M20</t>
        </is>
      </c>
      <c r="W5" s="4" t="inlineStr">
        <is>
          <t>M21</t>
        </is>
      </c>
      <c r="X5" s="4" t="inlineStr">
        <is>
          <t>M22</t>
        </is>
      </c>
      <c r="Y5" s="4" t="inlineStr">
        <is>
          <t>M23</t>
        </is>
      </c>
      <c r="Z5" s="4" t="inlineStr">
        <is>
          <t>M24</t>
        </is>
      </c>
      <c r="AA5" s="4" t="inlineStr">
        <is>
          <t>M25</t>
        </is>
      </c>
      <c r="AB5" s="4" t="inlineStr">
        <is>
          <t>M26</t>
        </is>
      </c>
      <c r="AC5" s="4" t="inlineStr">
        <is>
          <t>M27</t>
        </is>
      </c>
      <c r="AD5" s="4" t="inlineStr">
        <is>
          <t>M28</t>
        </is>
      </c>
      <c r="AE5" s="4" t="inlineStr">
        <is>
          <t>M29</t>
        </is>
      </c>
      <c r="AF5" s="4" t="inlineStr">
        <is>
          <t>M30</t>
        </is>
      </c>
      <c r="AG5" s="4" t="inlineStr">
        <is>
          <t>M31</t>
        </is>
      </c>
      <c r="AH5" s="4" t="inlineStr">
        <is>
          <t>M32</t>
        </is>
      </c>
      <c r="AI5" s="4" t="inlineStr">
        <is>
          <t>M33</t>
        </is>
      </c>
      <c r="AJ5" s="4" t="inlineStr">
        <is>
          <t>M34</t>
        </is>
      </c>
      <c r="AK5" s="4" t="inlineStr">
        <is>
          <t>M35</t>
        </is>
      </c>
      <c r="AL5" s="4" t="inlineStr">
        <is>
          <t>M36</t>
        </is>
      </c>
    </row>
    <row r="7">
      <c r="B7" s="8" t="inlineStr">
        <is>
          <t>User &amp; Subscriber Build-Up</t>
        </is>
      </c>
    </row>
    <row r="8">
      <c r="B8" t="inlineStr">
        <is>
          <t>Beginning free users</t>
        </is>
      </c>
      <c r="C8" s="9" t="n">
        <v>0</v>
      </c>
      <c r="D8" s="9">
        <f>C15</f>
        <v/>
      </c>
      <c r="E8" s="9">
        <f>D15</f>
        <v/>
      </c>
      <c r="F8" s="9">
        <f>E15</f>
        <v/>
      </c>
      <c r="G8" s="9">
        <f>F15</f>
        <v/>
      </c>
      <c r="H8" s="9">
        <f>G15</f>
        <v/>
      </c>
      <c r="I8" s="9">
        <f>H15</f>
        <v/>
      </c>
      <c r="J8" s="9">
        <f>I15</f>
        <v/>
      </c>
      <c r="K8" s="9">
        <f>J15</f>
        <v/>
      </c>
      <c r="L8" s="9">
        <f>K15</f>
        <v/>
      </c>
      <c r="M8" s="9">
        <f>L15</f>
        <v/>
      </c>
      <c r="N8" s="9">
        <f>M15</f>
        <v/>
      </c>
      <c r="O8" s="9">
        <f>N15</f>
        <v/>
      </c>
      <c r="P8" s="9">
        <f>O15</f>
        <v/>
      </c>
      <c r="Q8" s="9">
        <f>P15</f>
        <v/>
      </c>
      <c r="R8" s="9">
        <f>Q15</f>
        <v/>
      </c>
      <c r="S8" s="9">
        <f>R15</f>
        <v/>
      </c>
      <c r="T8" s="9">
        <f>S15</f>
        <v/>
      </c>
      <c r="U8" s="9">
        <f>T15</f>
        <v/>
      </c>
      <c r="V8" s="9">
        <f>U15</f>
        <v/>
      </c>
      <c r="W8" s="9">
        <f>V15</f>
        <v/>
      </c>
      <c r="X8" s="9">
        <f>W15</f>
        <v/>
      </c>
      <c r="Y8" s="9">
        <f>X15</f>
        <v/>
      </c>
      <c r="Z8" s="9">
        <f>Y15</f>
        <v/>
      </c>
      <c r="AA8" s="9">
        <f>Z15</f>
        <v/>
      </c>
      <c r="AB8" s="9">
        <f>AA15</f>
        <v/>
      </c>
      <c r="AC8" s="9">
        <f>AB15</f>
        <v/>
      </c>
      <c r="AD8" s="9">
        <f>AC15</f>
        <v/>
      </c>
      <c r="AE8" s="9">
        <f>AD15</f>
        <v/>
      </c>
      <c r="AF8" s="9">
        <f>AE15</f>
        <v/>
      </c>
      <c r="AG8" s="9">
        <f>AF15</f>
        <v/>
      </c>
      <c r="AH8" s="9">
        <f>AG15</f>
        <v/>
      </c>
      <c r="AI8" s="9">
        <f>AH15</f>
        <v/>
      </c>
      <c r="AJ8" s="9">
        <f>AI15</f>
        <v/>
      </c>
      <c r="AK8" s="9">
        <f>AJ15</f>
        <v/>
      </c>
      <c r="AL8" s="9">
        <f>AK15</f>
        <v/>
      </c>
    </row>
    <row r="9">
      <c r="B9" t="inlineStr">
        <is>
          <t>New signups</t>
        </is>
      </c>
      <c r="C9" s="9">
        <f>INDEX('Case Filter'!C$8:C$11,'Case Filter'!$C$1+1)</f>
        <v/>
      </c>
      <c r="D9" s="9">
        <f>INDEX('Case Filter'!D$8:D$11,'Case Filter'!$C$1+1)</f>
        <v/>
      </c>
      <c r="E9" s="9">
        <f>INDEX('Case Filter'!E$8:E$11,'Case Filter'!$C$1+1)</f>
        <v/>
      </c>
      <c r="F9" s="9">
        <f>INDEX('Case Filter'!F$8:F$11,'Case Filter'!$C$1+1)</f>
        <v/>
      </c>
      <c r="G9" s="9">
        <f>INDEX('Case Filter'!G$8:G$11,'Case Filter'!$C$1+1)</f>
        <v/>
      </c>
      <c r="H9" s="9">
        <f>INDEX('Case Filter'!H$8:H$11,'Case Filter'!$C$1+1)</f>
        <v/>
      </c>
      <c r="I9" s="9">
        <f>INDEX('Case Filter'!I$8:I$11,'Case Filter'!$C$1+1)</f>
        <v/>
      </c>
      <c r="J9" s="9">
        <f>INDEX('Case Filter'!J$8:J$11,'Case Filter'!$C$1+1)</f>
        <v/>
      </c>
      <c r="K9" s="9">
        <f>INDEX('Case Filter'!K$8:K$11,'Case Filter'!$C$1+1)</f>
        <v/>
      </c>
      <c r="L9" s="9">
        <f>INDEX('Case Filter'!L$8:L$11,'Case Filter'!$C$1+1)</f>
        <v/>
      </c>
      <c r="M9" s="9">
        <f>INDEX('Case Filter'!M$8:M$11,'Case Filter'!$C$1+1)</f>
        <v/>
      </c>
      <c r="N9" s="9">
        <f>INDEX('Case Filter'!N$8:N$11,'Case Filter'!$C$1+1)</f>
        <v/>
      </c>
      <c r="O9" s="9">
        <f>INDEX('Case Filter'!O$8:O$11,'Case Filter'!$C$1+1)</f>
        <v/>
      </c>
      <c r="P9" s="9">
        <f>INDEX('Case Filter'!P$8:P$11,'Case Filter'!$C$1+1)</f>
        <v/>
      </c>
      <c r="Q9" s="9">
        <f>INDEX('Case Filter'!Q$8:Q$11,'Case Filter'!$C$1+1)</f>
        <v/>
      </c>
      <c r="R9" s="9">
        <f>INDEX('Case Filter'!R$8:R$11,'Case Filter'!$C$1+1)</f>
        <v/>
      </c>
      <c r="S9" s="9">
        <f>INDEX('Case Filter'!S$8:S$11,'Case Filter'!$C$1+1)</f>
        <v/>
      </c>
      <c r="T9" s="9">
        <f>INDEX('Case Filter'!T$8:T$11,'Case Filter'!$C$1+1)</f>
        <v/>
      </c>
      <c r="U9" s="9">
        <f>INDEX('Case Filter'!U$8:U$11,'Case Filter'!$C$1+1)</f>
        <v/>
      </c>
      <c r="V9" s="9">
        <f>INDEX('Case Filter'!V$8:V$11,'Case Filter'!$C$1+1)</f>
        <v/>
      </c>
      <c r="W9" s="9">
        <f>INDEX('Case Filter'!W$8:W$11,'Case Filter'!$C$1+1)</f>
        <v/>
      </c>
      <c r="X9" s="9">
        <f>INDEX('Case Filter'!X$8:X$11,'Case Filter'!$C$1+1)</f>
        <v/>
      </c>
      <c r="Y9" s="9">
        <f>INDEX('Case Filter'!Y$8:Y$11,'Case Filter'!$C$1+1)</f>
        <v/>
      </c>
      <c r="Z9" s="9">
        <f>INDEX('Case Filter'!Z$8:Z$11,'Case Filter'!$C$1+1)</f>
        <v/>
      </c>
      <c r="AA9" s="9">
        <f>INDEX('Case Filter'!AA$8:AA$11,'Case Filter'!$C$1+1)</f>
        <v/>
      </c>
      <c r="AB9" s="9">
        <f>INDEX('Case Filter'!AB$8:AB$11,'Case Filter'!$C$1+1)</f>
        <v/>
      </c>
      <c r="AC9" s="9">
        <f>INDEX('Case Filter'!AC$8:AC$11,'Case Filter'!$C$1+1)</f>
        <v/>
      </c>
      <c r="AD9" s="9">
        <f>INDEX('Case Filter'!AD$8:AD$11,'Case Filter'!$C$1+1)</f>
        <v/>
      </c>
      <c r="AE9" s="9">
        <f>INDEX('Case Filter'!AE$8:AE$11,'Case Filter'!$C$1+1)</f>
        <v/>
      </c>
      <c r="AF9" s="9">
        <f>INDEX('Case Filter'!AF$8:AF$11,'Case Filter'!$C$1+1)</f>
        <v/>
      </c>
      <c r="AG9" s="9">
        <f>INDEX('Case Filter'!AG$8:AG$11,'Case Filter'!$C$1+1)</f>
        <v/>
      </c>
      <c r="AH9" s="9">
        <f>INDEX('Case Filter'!AH$8:AH$11,'Case Filter'!$C$1+1)</f>
        <v/>
      </c>
      <c r="AI9" s="9">
        <f>INDEX('Case Filter'!AI$8:AI$11,'Case Filter'!$C$1+1)</f>
        <v/>
      </c>
      <c r="AJ9" s="9">
        <f>INDEX('Case Filter'!AJ$8:AJ$11,'Case Filter'!$C$1+1)</f>
        <v/>
      </c>
      <c r="AK9" s="9">
        <f>INDEX('Case Filter'!AK$8:AK$11,'Case Filter'!$C$1+1)</f>
        <v/>
      </c>
      <c r="AL9" s="9">
        <f>INDEX('Case Filter'!AL$8:AL$11,'Case Filter'!$C$1+1)</f>
        <v/>
      </c>
    </row>
    <row r="10">
      <c r="B10" t="inlineStr">
        <is>
          <t>New Pro subscribers</t>
        </is>
      </c>
      <c r="C10" s="9">
        <f>C9*INDEX('Case Filter'!C$15:C$18,'Case Filter'!$C$1+1)</f>
        <v/>
      </c>
      <c r="D10" s="9">
        <f>D9*INDEX('Case Filter'!D$15:D$18,'Case Filter'!$C$1+1)</f>
        <v/>
      </c>
      <c r="E10" s="9">
        <f>E9*INDEX('Case Filter'!E$15:E$18,'Case Filter'!$C$1+1)</f>
        <v/>
      </c>
      <c r="F10" s="9">
        <f>F9*INDEX('Case Filter'!F$15:F$18,'Case Filter'!$C$1+1)</f>
        <v/>
      </c>
      <c r="G10" s="9">
        <f>G9*INDEX('Case Filter'!G$15:G$18,'Case Filter'!$C$1+1)</f>
        <v/>
      </c>
      <c r="H10" s="9">
        <f>H9*INDEX('Case Filter'!H$15:H$18,'Case Filter'!$C$1+1)</f>
        <v/>
      </c>
      <c r="I10" s="9">
        <f>I9*INDEX('Case Filter'!I$15:I$18,'Case Filter'!$C$1+1)</f>
        <v/>
      </c>
      <c r="J10" s="9">
        <f>J9*INDEX('Case Filter'!J$15:J$18,'Case Filter'!$C$1+1)</f>
        <v/>
      </c>
      <c r="K10" s="9">
        <f>K9*INDEX('Case Filter'!K$15:K$18,'Case Filter'!$C$1+1)</f>
        <v/>
      </c>
      <c r="L10" s="9">
        <f>L9*INDEX('Case Filter'!L$15:L$18,'Case Filter'!$C$1+1)</f>
        <v/>
      </c>
      <c r="M10" s="9">
        <f>M9*INDEX('Case Filter'!M$15:M$18,'Case Filter'!$C$1+1)</f>
        <v/>
      </c>
      <c r="N10" s="9">
        <f>N9*INDEX('Case Filter'!N$15:N$18,'Case Filter'!$C$1+1)</f>
        <v/>
      </c>
      <c r="O10" s="9">
        <f>O9*INDEX('Case Filter'!O$15:O$18,'Case Filter'!$C$1+1)</f>
        <v/>
      </c>
      <c r="P10" s="9">
        <f>P9*INDEX('Case Filter'!P$15:P$18,'Case Filter'!$C$1+1)</f>
        <v/>
      </c>
      <c r="Q10" s="9">
        <f>Q9*INDEX('Case Filter'!Q$15:Q$18,'Case Filter'!$C$1+1)</f>
        <v/>
      </c>
      <c r="R10" s="9">
        <f>R9*INDEX('Case Filter'!R$15:R$18,'Case Filter'!$C$1+1)</f>
        <v/>
      </c>
      <c r="S10" s="9">
        <f>S9*INDEX('Case Filter'!S$15:S$18,'Case Filter'!$C$1+1)</f>
        <v/>
      </c>
      <c r="T10" s="9">
        <f>T9*INDEX('Case Filter'!T$15:T$18,'Case Filter'!$C$1+1)</f>
        <v/>
      </c>
      <c r="U10" s="9">
        <f>U9*INDEX('Case Filter'!U$15:U$18,'Case Filter'!$C$1+1)</f>
        <v/>
      </c>
      <c r="V10" s="9">
        <f>V9*INDEX('Case Filter'!V$15:V$18,'Case Filter'!$C$1+1)</f>
        <v/>
      </c>
      <c r="W10" s="9">
        <f>W9*INDEX('Case Filter'!W$15:W$18,'Case Filter'!$C$1+1)</f>
        <v/>
      </c>
      <c r="X10" s="9">
        <f>X9*INDEX('Case Filter'!X$15:X$18,'Case Filter'!$C$1+1)</f>
        <v/>
      </c>
      <c r="Y10" s="9">
        <f>Y9*INDEX('Case Filter'!Y$15:Y$18,'Case Filter'!$C$1+1)</f>
        <v/>
      </c>
      <c r="Z10" s="9">
        <f>Z9*INDEX('Case Filter'!Z$15:Z$18,'Case Filter'!$C$1+1)</f>
        <v/>
      </c>
      <c r="AA10" s="9">
        <f>AA9*INDEX('Case Filter'!AA$15:AA$18,'Case Filter'!$C$1+1)</f>
        <v/>
      </c>
      <c r="AB10" s="9">
        <f>AB9*INDEX('Case Filter'!AB$15:AB$18,'Case Filter'!$C$1+1)</f>
        <v/>
      </c>
      <c r="AC10" s="9">
        <f>AC9*INDEX('Case Filter'!AC$15:AC$18,'Case Filter'!$C$1+1)</f>
        <v/>
      </c>
      <c r="AD10" s="9">
        <f>AD9*INDEX('Case Filter'!AD$15:AD$18,'Case Filter'!$C$1+1)</f>
        <v/>
      </c>
      <c r="AE10" s="9">
        <f>AE9*INDEX('Case Filter'!AE$15:AE$18,'Case Filter'!$C$1+1)</f>
        <v/>
      </c>
      <c r="AF10" s="9">
        <f>AF9*INDEX('Case Filter'!AF$15:AF$18,'Case Filter'!$C$1+1)</f>
        <v/>
      </c>
      <c r="AG10" s="9">
        <f>AG9*INDEX('Case Filter'!AG$15:AG$18,'Case Filter'!$C$1+1)</f>
        <v/>
      </c>
      <c r="AH10" s="9">
        <f>AH9*INDEX('Case Filter'!AH$15:AH$18,'Case Filter'!$C$1+1)</f>
        <v/>
      </c>
      <c r="AI10" s="9">
        <f>AI9*INDEX('Case Filter'!AI$15:AI$18,'Case Filter'!$C$1+1)</f>
        <v/>
      </c>
      <c r="AJ10" s="9">
        <f>AJ9*INDEX('Case Filter'!AJ$15:AJ$18,'Case Filter'!$C$1+1)</f>
        <v/>
      </c>
      <c r="AK10" s="9">
        <f>AK9*INDEX('Case Filter'!AK$15:AK$18,'Case Filter'!$C$1+1)</f>
        <v/>
      </c>
      <c r="AL10" s="9">
        <f>AL9*INDEX('Case Filter'!AL$15:AL$18,'Case Filter'!$C$1+1)</f>
        <v/>
      </c>
    </row>
    <row r="11">
      <c r="B11" t="inlineStr">
        <is>
          <t>Pro churn</t>
        </is>
      </c>
      <c r="C11" s="9" t="n">
        <v>0</v>
      </c>
      <c r="D11" s="9">
        <f>C13*INDEX('Case Filter'!D$22:D$25,'Case Filter'!$C$1+1)</f>
        <v/>
      </c>
      <c r="E11" s="9">
        <f>D13*INDEX('Case Filter'!E$22:E$25,'Case Filter'!$C$1+1)</f>
        <v/>
      </c>
      <c r="F11" s="9">
        <f>E13*INDEX('Case Filter'!F$22:F$25,'Case Filter'!$C$1+1)</f>
        <v/>
      </c>
      <c r="G11" s="9">
        <f>F13*INDEX('Case Filter'!G$22:G$25,'Case Filter'!$C$1+1)</f>
        <v/>
      </c>
      <c r="H11" s="9">
        <f>G13*INDEX('Case Filter'!H$22:H$25,'Case Filter'!$C$1+1)</f>
        <v/>
      </c>
      <c r="I11" s="9">
        <f>H13*INDEX('Case Filter'!I$22:I$25,'Case Filter'!$C$1+1)</f>
        <v/>
      </c>
      <c r="J11" s="9">
        <f>I13*INDEX('Case Filter'!J$22:J$25,'Case Filter'!$C$1+1)</f>
        <v/>
      </c>
      <c r="K11" s="9">
        <f>J13*INDEX('Case Filter'!K$22:K$25,'Case Filter'!$C$1+1)</f>
        <v/>
      </c>
      <c r="L11" s="9">
        <f>K13*INDEX('Case Filter'!L$22:L$25,'Case Filter'!$C$1+1)</f>
        <v/>
      </c>
      <c r="M11" s="9">
        <f>L13*INDEX('Case Filter'!M$22:M$25,'Case Filter'!$C$1+1)</f>
        <v/>
      </c>
      <c r="N11" s="9">
        <f>M13*INDEX('Case Filter'!N$22:N$25,'Case Filter'!$C$1+1)</f>
        <v/>
      </c>
      <c r="O11" s="9">
        <f>N13*INDEX('Case Filter'!O$22:O$25,'Case Filter'!$C$1+1)</f>
        <v/>
      </c>
      <c r="P11" s="9">
        <f>O13*INDEX('Case Filter'!P$22:P$25,'Case Filter'!$C$1+1)</f>
        <v/>
      </c>
      <c r="Q11" s="9">
        <f>P13*INDEX('Case Filter'!Q$22:Q$25,'Case Filter'!$C$1+1)</f>
        <v/>
      </c>
      <c r="R11" s="9">
        <f>Q13*INDEX('Case Filter'!R$22:R$25,'Case Filter'!$C$1+1)</f>
        <v/>
      </c>
      <c r="S11" s="9">
        <f>R13*INDEX('Case Filter'!S$22:S$25,'Case Filter'!$C$1+1)</f>
        <v/>
      </c>
      <c r="T11" s="9">
        <f>S13*INDEX('Case Filter'!T$22:T$25,'Case Filter'!$C$1+1)</f>
        <v/>
      </c>
      <c r="U11" s="9">
        <f>T13*INDEX('Case Filter'!U$22:U$25,'Case Filter'!$C$1+1)</f>
        <v/>
      </c>
      <c r="V11" s="9">
        <f>U13*INDEX('Case Filter'!V$22:V$25,'Case Filter'!$C$1+1)</f>
        <v/>
      </c>
      <c r="W11" s="9">
        <f>V13*INDEX('Case Filter'!W$22:W$25,'Case Filter'!$C$1+1)</f>
        <v/>
      </c>
      <c r="X11" s="9">
        <f>W13*INDEX('Case Filter'!X$22:X$25,'Case Filter'!$C$1+1)</f>
        <v/>
      </c>
      <c r="Y11" s="9">
        <f>X13*INDEX('Case Filter'!Y$22:Y$25,'Case Filter'!$C$1+1)</f>
        <v/>
      </c>
      <c r="Z11" s="9">
        <f>Y13*INDEX('Case Filter'!Z$22:Z$25,'Case Filter'!$C$1+1)</f>
        <v/>
      </c>
      <c r="AA11" s="9">
        <f>Z13*INDEX('Case Filter'!AA$22:AA$25,'Case Filter'!$C$1+1)</f>
        <v/>
      </c>
      <c r="AB11" s="9">
        <f>AA13*INDEX('Case Filter'!AB$22:AB$25,'Case Filter'!$C$1+1)</f>
        <v/>
      </c>
      <c r="AC11" s="9">
        <f>AB13*INDEX('Case Filter'!AC$22:AC$25,'Case Filter'!$C$1+1)</f>
        <v/>
      </c>
      <c r="AD11" s="9">
        <f>AC13*INDEX('Case Filter'!AD$22:AD$25,'Case Filter'!$C$1+1)</f>
        <v/>
      </c>
      <c r="AE11" s="9">
        <f>AD13*INDEX('Case Filter'!AE$22:AE$25,'Case Filter'!$C$1+1)</f>
        <v/>
      </c>
      <c r="AF11" s="9">
        <f>AE13*INDEX('Case Filter'!AF$22:AF$25,'Case Filter'!$C$1+1)</f>
        <v/>
      </c>
      <c r="AG11" s="9">
        <f>AF13*INDEX('Case Filter'!AG$22:AG$25,'Case Filter'!$C$1+1)</f>
        <v/>
      </c>
      <c r="AH11" s="9">
        <f>AG13*INDEX('Case Filter'!AH$22:AH$25,'Case Filter'!$C$1+1)</f>
        <v/>
      </c>
      <c r="AI11" s="9">
        <f>AH13*INDEX('Case Filter'!AI$22:AI$25,'Case Filter'!$C$1+1)</f>
        <v/>
      </c>
      <c r="AJ11" s="9">
        <f>AI13*INDEX('Case Filter'!AJ$22:AJ$25,'Case Filter'!$C$1+1)</f>
        <v/>
      </c>
      <c r="AK11" s="9">
        <f>AJ13*INDEX('Case Filter'!AK$22:AK$25,'Case Filter'!$C$1+1)</f>
        <v/>
      </c>
      <c r="AL11" s="9">
        <f>AK13*INDEX('Case Filter'!AL$22:AL$25,'Case Filter'!$C$1+1)</f>
        <v/>
      </c>
    </row>
    <row r="12">
      <c r="B12" t="inlineStr">
        <is>
          <t>Net new Pro subscribers</t>
        </is>
      </c>
      <c r="C12" s="9">
        <f>C10-C11</f>
        <v/>
      </c>
      <c r="D12" s="9">
        <f>D10-D11</f>
        <v/>
      </c>
      <c r="E12" s="9">
        <f>E10-E11</f>
        <v/>
      </c>
      <c r="F12" s="9">
        <f>F10-F11</f>
        <v/>
      </c>
      <c r="G12" s="9">
        <f>G10-G11</f>
        <v/>
      </c>
      <c r="H12" s="9">
        <f>H10-H11</f>
        <v/>
      </c>
      <c r="I12" s="9">
        <f>I10-I11</f>
        <v/>
      </c>
      <c r="J12" s="9">
        <f>J10-J11</f>
        <v/>
      </c>
      <c r="K12" s="9">
        <f>K10-K11</f>
        <v/>
      </c>
      <c r="L12" s="9">
        <f>L10-L11</f>
        <v/>
      </c>
      <c r="M12" s="9">
        <f>M10-M11</f>
        <v/>
      </c>
      <c r="N12" s="9">
        <f>N10-N11</f>
        <v/>
      </c>
      <c r="O12" s="9">
        <f>O10-O11</f>
        <v/>
      </c>
      <c r="P12" s="9">
        <f>P10-P11</f>
        <v/>
      </c>
      <c r="Q12" s="9">
        <f>Q10-Q11</f>
        <v/>
      </c>
      <c r="R12" s="9">
        <f>R10-R11</f>
        <v/>
      </c>
      <c r="S12" s="9">
        <f>S10-S11</f>
        <v/>
      </c>
      <c r="T12" s="9">
        <f>T10-T11</f>
        <v/>
      </c>
      <c r="U12" s="9">
        <f>U10-U11</f>
        <v/>
      </c>
      <c r="V12" s="9">
        <f>V10-V11</f>
        <v/>
      </c>
      <c r="W12" s="9">
        <f>W10-W11</f>
        <v/>
      </c>
      <c r="X12" s="9">
        <f>X10-X11</f>
        <v/>
      </c>
      <c r="Y12" s="9">
        <f>Y10-Y11</f>
        <v/>
      </c>
      <c r="Z12" s="9">
        <f>Z10-Z11</f>
        <v/>
      </c>
      <c r="AA12" s="9">
        <f>AA10-AA11</f>
        <v/>
      </c>
      <c r="AB12" s="9">
        <f>AB10-AB11</f>
        <v/>
      </c>
      <c r="AC12" s="9">
        <f>AC10-AC11</f>
        <v/>
      </c>
      <c r="AD12" s="9">
        <f>AD10-AD11</f>
        <v/>
      </c>
      <c r="AE12" s="9">
        <f>AE10-AE11</f>
        <v/>
      </c>
      <c r="AF12" s="9">
        <f>AF10-AF11</f>
        <v/>
      </c>
      <c r="AG12" s="9">
        <f>AG10-AG11</f>
        <v/>
      </c>
      <c r="AH12" s="9">
        <f>AH10-AH11</f>
        <v/>
      </c>
      <c r="AI12" s="9">
        <f>AI10-AI11</f>
        <v/>
      </c>
      <c r="AJ12" s="9">
        <f>AJ10-AJ11</f>
        <v/>
      </c>
      <c r="AK12" s="9">
        <f>AK10-AK11</f>
        <v/>
      </c>
      <c r="AL12" s="9">
        <f>AL10-AL11</f>
        <v/>
      </c>
    </row>
    <row r="13">
      <c r="B13" t="inlineStr">
        <is>
          <t>Ending Pro subscribers</t>
        </is>
      </c>
      <c r="C13" s="9">
        <f>C12</f>
        <v/>
      </c>
      <c r="D13" s="9">
        <f>C13+D12</f>
        <v/>
      </c>
      <c r="E13" s="9">
        <f>D13+E12</f>
        <v/>
      </c>
      <c r="F13" s="9">
        <f>E13+F12</f>
        <v/>
      </c>
      <c r="G13" s="9">
        <f>F13+G12</f>
        <v/>
      </c>
      <c r="H13" s="9">
        <f>G13+H12</f>
        <v/>
      </c>
      <c r="I13" s="9">
        <f>H13+I12</f>
        <v/>
      </c>
      <c r="J13" s="9">
        <f>I13+J12</f>
        <v/>
      </c>
      <c r="K13" s="9">
        <f>J13+K12</f>
        <v/>
      </c>
      <c r="L13" s="9">
        <f>K13+L12</f>
        <v/>
      </c>
      <c r="M13" s="9">
        <f>L13+M12</f>
        <v/>
      </c>
      <c r="N13" s="9">
        <f>M13+N12</f>
        <v/>
      </c>
      <c r="O13" s="9">
        <f>N13+O12</f>
        <v/>
      </c>
      <c r="P13" s="9">
        <f>O13+P12</f>
        <v/>
      </c>
      <c r="Q13" s="9">
        <f>P13+Q12</f>
        <v/>
      </c>
      <c r="R13" s="9">
        <f>Q13+R12</f>
        <v/>
      </c>
      <c r="S13" s="9">
        <f>R13+S12</f>
        <v/>
      </c>
      <c r="T13" s="9">
        <f>S13+T12</f>
        <v/>
      </c>
      <c r="U13" s="9">
        <f>T13+U12</f>
        <v/>
      </c>
      <c r="V13" s="9">
        <f>U13+V12</f>
        <v/>
      </c>
      <c r="W13" s="9">
        <f>V13+W12</f>
        <v/>
      </c>
      <c r="X13" s="9">
        <f>W13+X12</f>
        <v/>
      </c>
      <c r="Y13" s="9">
        <f>X13+Y12</f>
        <v/>
      </c>
      <c r="Z13" s="9">
        <f>Y13+Z12</f>
        <v/>
      </c>
      <c r="AA13" s="9">
        <f>Z13+AA12</f>
        <v/>
      </c>
      <c r="AB13" s="9">
        <f>AA13+AB12</f>
        <v/>
      </c>
      <c r="AC13" s="9">
        <f>AB13+AC12</f>
        <v/>
      </c>
      <c r="AD13" s="9">
        <f>AC13+AD12</f>
        <v/>
      </c>
      <c r="AE13" s="9">
        <f>AD13+AE12</f>
        <v/>
      </c>
      <c r="AF13" s="9">
        <f>AE13+AF12</f>
        <v/>
      </c>
      <c r="AG13" s="9">
        <f>AF13+AG12</f>
        <v/>
      </c>
      <c r="AH13" s="9">
        <f>AG13+AH12</f>
        <v/>
      </c>
      <c r="AI13" s="9">
        <f>AH13+AI12</f>
        <v/>
      </c>
      <c r="AJ13" s="9">
        <f>AI13+AJ12</f>
        <v/>
      </c>
      <c r="AK13" s="9">
        <f>AJ13+AK12</f>
        <v/>
      </c>
      <c r="AL13" s="9">
        <f>AK13+AL12</f>
        <v/>
      </c>
    </row>
    <row r="14">
      <c r="B14" t="inlineStr">
        <is>
          <t>Ending total registered users</t>
        </is>
      </c>
      <c r="C14" s="9">
        <f>C9</f>
        <v/>
      </c>
      <c r="D14" s="9">
        <f>C14+D9</f>
        <v/>
      </c>
      <c r="E14" s="9">
        <f>D14+E9</f>
        <v/>
      </c>
      <c r="F14" s="9">
        <f>E14+F9</f>
        <v/>
      </c>
      <c r="G14" s="9">
        <f>F14+G9</f>
        <v/>
      </c>
      <c r="H14" s="9">
        <f>G14+H9</f>
        <v/>
      </c>
      <c r="I14" s="9">
        <f>H14+I9</f>
        <v/>
      </c>
      <c r="J14" s="9">
        <f>I14+J9</f>
        <v/>
      </c>
      <c r="K14" s="9">
        <f>J14+K9</f>
        <v/>
      </c>
      <c r="L14" s="9">
        <f>K14+L9</f>
        <v/>
      </c>
      <c r="M14" s="9">
        <f>L14+M9</f>
        <v/>
      </c>
      <c r="N14" s="9">
        <f>M14+N9</f>
        <v/>
      </c>
      <c r="O14" s="9">
        <f>N14+O9</f>
        <v/>
      </c>
      <c r="P14" s="9">
        <f>O14+P9</f>
        <v/>
      </c>
      <c r="Q14" s="9">
        <f>P14+Q9</f>
        <v/>
      </c>
      <c r="R14" s="9">
        <f>Q14+R9</f>
        <v/>
      </c>
      <c r="S14" s="9">
        <f>R14+S9</f>
        <v/>
      </c>
      <c r="T14" s="9">
        <f>S14+T9</f>
        <v/>
      </c>
      <c r="U14" s="9">
        <f>T14+U9</f>
        <v/>
      </c>
      <c r="V14" s="9">
        <f>U14+V9</f>
        <v/>
      </c>
      <c r="W14" s="9">
        <f>V14+W9</f>
        <v/>
      </c>
      <c r="X14" s="9">
        <f>W14+X9</f>
        <v/>
      </c>
      <c r="Y14" s="9">
        <f>X14+Y9</f>
        <v/>
      </c>
      <c r="Z14" s="9">
        <f>Y14+Z9</f>
        <v/>
      </c>
      <c r="AA14" s="9">
        <f>Z14+AA9</f>
        <v/>
      </c>
      <c r="AB14" s="9">
        <f>AA14+AB9</f>
        <v/>
      </c>
      <c r="AC14" s="9">
        <f>AB14+AC9</f>
        <v/>
      </c>
      <c r="AD14" s="9">
        <f>AC14+AD9</f>
        <v/>
      </c>
      <c r="AE14" s="9">
        <f>AD14+AE9</f>
        <v/>
      </c>
      <c r="AF14" s="9">
        <f>AE14+AF9</f>
        <v/>
      </c>
      <c r="AG14" s="9">
        <f>AF14+AG9</f>
        <v/>
      </c>
      <c r="AH14" s="9">
        <f>AG14+AH9</f>
        <v/>
      </c>
      <c r="AI14" s="9">
        <f>AH14+AI9</f>
        <v/>
      </c>
      <c r="AJ14" s="9">
        <f>AI14+AJ9</f>
        <v/>
      </c>
      <c r="AK14" s="9">
        <f>AJ14+AK9</f>
        <v/>
      </c>
      <c r="AL14" s="9">
        <f>AK14+AL9</f>
        <v/>
      </c>
    </row>
    <row r="15">
      <c r="B15" t="inlineStr">
        <is>
          <t>Ending free users</t>
        </is>
      </c>
      <c r="C15" s="9">
        <f>C14-C13</f>
        <v/>
      </c>
      <c r="D15" s="9">
        <f>D14-D13</f>
        <v/>
      </c>
      <c r="E15" s="9">
        <f>E14-E13</f>
        <v/>
      </c>
      <c r="F15" s="9">
        <f>F14-F13</f>
        <v/>
      </c>
      <c r="G15" s="9">
        <f>G14-G13</f>
        <v/>
      </c>
      <c r="H15" s="9">
        <f>H14-H13</f>
        <v/>
      </c>
      <c r="I15" s="9">
        <f>I14-I13</f>
        <v/>
      </c>
      <c r="J15" s="9">
        <f>J14-J13</f>
        <v/>
      </c>
      <c r="K15" s="9">
        <f>K14-K13</f>
        <v/>
      </c>
      <c r="L15" s="9">
        <f>L14-L13</f>
        <v/>
      </c>
      <c r="M15" s="9">
        <f>M14-M13</f>
        <v/>
      </c>
      <c r="N15" s="9">
        <f>N14-N13</f>
        <v/>
      </c>
      <c r="O15" s="9">
        <f>O14-O13</f>
        <v/>
      </c>
      <c r="P15" s="9">
        <f>P14-P13</f>
        <v/>
      </c>
      <c r="Q15" s="9">
        <f>Q14-Q13</f>
        <v/>
      </c>
      <c r="R15" s="9">
        <f>R14-R13</f>
        <v/>
      </c>
      <c r="S15" s="9">
        <f>S14-S13</f>
        <v/>
      </c>
      <c r="T15" s="9">
        <f>T14-T13</f>
        <v/>
      </c>
      <c r="U15" s="9">
        <f>U14-U13</f>
        <v/>
      </c>
      <c r="V15" s="9">
        <f>V14-V13</f>
        <v/>
      </c>
      <c r="W15" s="9">
        <f>W14-W13</f>
        <v/>
      </c>
      <c r="X15" s="9">
        <f>X14-X13</f>
        <v/>
      </c>
      <c r="Y15" s="9">
        <f>Y14-Y13</f>
        <v/>
      </c>
      <c r="Z15" s="9">
        <f>Z14-Z13</f>
        <v/>
      </c>
      <c r="AA15" s="9">
        <f>AA14-AA13</f>
        <v/>
      </c>
      <c r="AB15" s="9">
        <f>AB14-AB13</f>
        <v/>
      </c>
      <c r="AC15" s="9">
        <f>AC14-AC13</f>
        <v/>
      </c>
      <c r="AD15" s="9">
        <f>AD14-AD13</f>
        <v/>
      </c>
      <c r="AE15" s="9">
        <f>AE14-AE13</f>
        <v/>
      </c>
      <c r="AF15" s="9">
        <f>AF14-AF13</f>
        <v/>
      </c>
      <c r="AG15" s="9">
        <f>AG14-AG13</f>
        <v/>
      </c>
      <c r="AH15" s="9">
        <f>AH14-AH13</f>
        <v/>
      </c>
      <c r="AI15" s="9">
        <f>AI14-AI13</f>
        <v/>
      </c>
      <c r="AJ15" s="9">
        <f>AJ14-AJ13</f>
        <v/>
      </c>
      <c r="AK15" s="9">
        <f>AK14-AK13</f>
        <v/>
      </c>
      <c r="AL15" s="9">
        <f>AL14-AL13</f>
        <v/>
      </c>
    </row>
    <row r="16">
      <c r="B16" t="inlineStr">
        <is>
          <t>Pro as % of total users</t>
        </is>
      </c>
      <c r="C16" s="6">
        <f>IF(C14=0,0,C13/C14)</f>
        <v/>
      </c>
      <c r="D16" s="6">
        <f>IF(D14=0,0,D13/D14)</f>
        <v/>
      </c>
      <c r="E16" s="6">
        <f>IF(E14=0,0,E13/E14)</f>
        <v/>
      </c>
      <c r="F16" s="6">
        <f>IF(F14=0,0,F13/F14)</f>
        <v/>
      </c>
      <c r="G16" s="6">
        <f>IF(G14=0,0,G13/G14)</f>
        <v/>
      </c>
      <c r="H16" s="6">
        <f>IF(H14=0,0,H13/H14)</f>
        <v/>
      </c>
      <c r="I16" s="6">
        <f>IF(I14=0,0,I13/I14)</f>
        <v/>
      </c>
      <c r="J16" s="6">
        <f>IF(J14=0,0,J13/J14)</f>
        <v/>
      </c>
      <c r="K16" s="6">
        <f>IF(K14=0,0,K13/K14)</f>
        <v/>
      </c>
      <c r="L16" s="6">
        <f>IF(L14=0,0,L13/L14)</f>
        <v/>
      </c>
      <c r="M16" s="6">
        <f>IF(M14=0,0,M13/M14)</f>
        <v/>
      </c>
      <c r="N16" s="6">
        <f>IF(N14=0,0,N13/N14)</f>
        <v/>
      </c>
      <c r="O16" s="6">
        <f>IF(O14=0,0,O13/O14)</f>
        <v/>
      </c>
      <c r="P16" s="6">
        <f>IF(P14=0,0,P13/P14)</f>
        <v/>
      </c>
      <c r="Q16" s="6">
        <f>IF(Q14=0,0,Q13/Q14)</f>
        <v/>
      </c>
      <c r="R16" s="6">
        <f>IF(R14=0,0,R13/R14)</f>
        <v/>
      </c>
      <c r="S16" s="6">
        <f>IF(S14=0,0,S13/S14)</f>
        <v/>
      </c>
      <c r="T16" s="6">
        <f>IF(T14=0,0,T13/T14)</f>
        <v/>
      </c>
      <c r="U16" s="6">
        <f>IF(U14=0,0,U13/U14)</f>
        <v/>
      </c>
      <c r="V16" s="6">
        <f>IF(V14=0,0,V13/V14)</f>
        <v/>
      </c>
      <c r="W16" s="6">
        <f>IF(W14=0,0,W13/W14)</f>
        <v/>
      </c>
      <c r="X16" s="6">
        <f>IF(X14=0,0,X13/X14)</f>
        <v/>
      </c>
      <c r="Y16" s="6">
        <f>IF(Y14=0,0,Y13/Y14)</f>
        <v/>
      </c>
      <c r="Z16" s="6">
        <f>IF(Z14=0,0,Z13/Z14)</f>
        <v/>
      </c>
      <c r="AA16" s="6">
        <f>IF(AA14=0,0,AA13/AA14)</f>
        <v/>
      </c>
      <c r="AB16" s="6">
        <f>IF(AB14=0,0,AB13/AB14)</f>
        <v/>
      </c>
      <c r="AC16" s="6">
        <f>IF(AC14=0,0,AC13/AC14)</f>
        <v/>
      </c>
      <c r="AD16" s="6">
        <f>IF(AD14=0,0,AD13/AD14)</f>
        <v/>
      </c>
      <c r="AE16" s="6">
        <f>IF(AE14=0,0,AE13/AE14)</f>
        <v/>
      </c>
      <c r="AF16" s="6">
        <f>IF(AF14=0,0,AF13/AF14)</f>
        <v/>
      </c>
      <c r="AG16" s="6">
        <f>IF(AG14=0,0,AG13/AG14)</f>
        <v/>
      </c>
      <c r="AH16" s="6">
        <f>IF(AH14=0,0,AH13/AH14)</f>
        <v/>
      </c>
      <c r="AI16" s="6">
        <f>IF(AI14=0,0,AI13/AI14)</f>
        <v/>
      </c>
      <c r="AJ16" s="6">
        <f>IF(AJ14=0,0,AJ13/AJ14)</f>
        <v/>
      </c>
      <c r="AK16" s="6">
        <f>IF(AK14=0,0,AK13/AK14)</f>
        <v/>
      </c>
      <c r="AL16" s="6">
        <f>IF(AL14=0,0,AL13/AL14)</f>
        <v/>
      </c>
    </row>
    <row r="18">
      <c r="B18" s="8" t="inlineStr">
        <is>
          <t>Revenue &amp; Gross Margin</t>
        </is>
      </c>
    </row>
    <row r="19">
      <c r="B19" t="inlineStr">
        <is>
          <t>Gross MRR</t>
        </is>
      </c>
      <c r="C19" s="7">
        <f>C13*'Case Filter'!$C$42</f>
        <v/>
      </c>
      <c r="D19" s="7">
        <f>D13*'Case Filter'!$C$42</f>
        <v/>
      </c>
      <c r="E19" s="7">
        <f>E13*'Case Filter'!$C$42</f>
        <v/>
      </c>
      <c r="F19" s="7">
        <f>F13*'Case Filter'!$C$42</f>
        <v/>
      </c>
      <c r="G19" s="7">
        <f>G13*'Case Filter'!$C$42</f>
        <v/>
      </c>
      <c r="H19" s="7">
        <f>H13*'Case Filter'!$C$42</f>
        <v/>
      </c>
      <c r="I19" s="7">
        <f>I13*'Case Filter'!$C$42</f>
        <v/>
      </c>
      <c r="J19" s="7">
        <f>J13*'Case Filter'!$C$42</f>
        <v/>
      </c>
      <c r="K19" s="7">
        <f>K13*'Case Filter'!$C$42</f>
        <v/>
      </c>
      <c r="L19" s="7">
        <f>L13*'Case Filter'!$C$42</f>
        <v/>
      </c>
      <c r="M19" s="7">
        <f>M13*'Case Filter'!$C$42</f>
        <v/>
      </c>
      <c r="N19" s="7">
        <f>N13*'Case Filter'!$C$42</f>
        <v/>
      </c>
      <c r="O19" s="7">
        <f>O13*'Case Filter'!$C$42</f>
        <v/>
      </c>
      <c r="P19" s="7">
        <f>P13*'Case Filter'!$C$42</f>
        <v/>
      </c>
      <c r="Q19" s="7">
        <f>Q13*'Case Filter'!$C$42</f>
        <v/>
      </c>
      <c r="R19" s="7">
        <f>R13*'Case Filter'!$C$42</f>
        <v/>
      </c>
      <c r="S19" s="7">
        <f>S13*'Case Filter'!$C$42</f>
        <v/>
      </c>
      <c r="T19" s="7">
        <f>T13*'Case Filter'!$C$42</f>
        <v/>
      </c>
      <c r="U19" s="7">
        <f>U13*'Case Filter'!$C$42</f>
        <v/>
      </c>
      <c r="V19" s="7">
        <f>V13*'Case Filter'!$C$42</f>
        <v/>
      </c>
      <c r="W19" s="7">
        <f>W13*'Case Filter'!$C$42</f>
        <v/>
      </c>
      <c r="X19" s="7">
        <f>X13*'Case Filter'!$C$42</f>
        <v/>
      </c>
      <c r="Y19" s="7">
        <f>Y13*'Case Filter'!$C$42</f>
        <v/>
      </c>
      <c r="Z19" s="7">
        <f>Z13*'Case Filter'!$C$42</f>
        <v/>
      </c>
      <c r="AA19" s="7">
        <f>AA13*'Case Filter'!$C$42</f>
        <v/>
      </c>
      <c r="AB19" s="7">
        <f>AB13*'Case Filter'!$C$42</f>
        <v/>
      </c>
      <c r="AC19" s="7">
        <f>AC13*'Case Filter'!$C$42</f>
        <v/>
      </c>
      <c r="AD19" s="7">
        <f>AD13*'Case Filter'!$C$42</f>
        <v/>
      </c>
      <c r="AE19" s="7">
        <f>AE13*'Case Filter'!$C$42</f>
        <v/>
      </c>
      <c r="AF19" s="7">
        <f>AF13*'Case Filter'!$C$42</f>
        <v/>
      </c>
      <c r="AG19" s="7">
        <f>AG13*'Case Filter'!$C$42</f>
        <v/>
      </c>
      <c r="AH19" s="7">
        <f>AH13*'Case Filter'!$C$42</f>
        <v/>
      </c>
      <c r="AI19" s="7">
        <f>AI13*'Case Filter'!$C$42</f>
        <v/>
      </c>
      <c r="AJ19" s="7">
        <f>AJ13*'Case Filter'!$C$42</f>
        <v/>
      </c>
      <c r="AK19" s="7">
        <f>AK13*'Case Filter'!$C$42</f>
        <v/>
      </c>
      <c r="AL19" s="7">
        <f>AL13*'Case Filter'!$C$42</f>
        <v/>
      </c>
    </row>
    <row r="20">
      <c r="B20" t="inlineStr">
        <is>
          <t>Stripe fees</t>
        </is>
      </c>
      <c r="C20" s="7">
        <f>C13*'Case Filter'!$C$43</f>
        <v/>
      </c>
      <c r="D20" s="7">
        <f>D13*'Case Filter'!$C$43</f>
        <v/>
      </c>
      <c r="E20" s="7">
        <f>E13*'Case Filter'!$C$43</f>
        <v/>
      </c>
      <c r="F20" s="7">
        <f>F13*'Case Filter'!$C$43</f>
        <v/>
      </c>
      <c r="G20" s="7">
        <f>G13*'Case Filter'!$C$43</f>
        <v/>
      </c>
      <c r="H20" s="7">
        <f>H13*'Case Filter'!$C$43</f>
        <v/>
      </c>
      <c r="I20" s="7">
        <f>I13*'Case Filter'!$C$43</f>
        <v/>
      </c>
      <c r="J20" s="7">
        <f>J13*'Case Filter'!$C$43</f>
        <v/>
      </c>
      <c r="K20" s="7">
        <f>K13*'Case Filter'!$C$43</f>
        <v/>
      </c>
      <c r="L20" s="7">
        <f>L13*'Case Filter'!$C$43</f>
        <v/>
      </c>
      <c r="M20" s="7">
        <f>M13*'Case Filter'!$C$43</f>
        <v/>
      </c>
      <c r="N20" s="7">
        <f>N13*'Case Filter'!$C$43</f>
        <v/>
      </c>
      <c r="O20" s="7">
        <f>O13*'Case Filter'!$C$43</f>
        <v/>
      </c>
      <c r="P20" s="7">
        <f>P13*'Case Filter'!$C$43</f>
        <v/>
      </c>
      <c r="Q20" s="7">
        <f>Q13*'Case Filter'!$C$43</f>
        <v/>
      </c>
      <c r="R20" s="7">
        <f>R13*'Case Filter'!$C$43</f>
        <v/>
      </c>
      <c r="S20" s="7">
        <f>S13*'Case Filter'!$C$43</f>
        <v/>
      </c>
      <c r="T20" s="7">
        <f>T13*'Case Filter'!$C$43</f>
        <v/>
      </c>
      <c r="U20" s="7">
        <f>U13*'Case Filter'!$C$43</f>
        <v/>
      </c>
      <c r="V20" s="7">
        <f>V13*'Case Filter'!$C$43</f>
        <v/>
      </c>
      <c r="W20" s="7">
        <f>W13*'Case Filter'!$C$43</f>
        <v/>
      </c>
      <c r="X20" s="7">
        <f>X13*'Case Filter'!$C$43</f>
        <v/>
      </c>
      <c r="Y20" s="7">
        <f>Y13*'Case Filter'!$C$43</f>
        <v/>
      </c>
      <c r="Z20" s="7">
        <f>Z13*'Case Filter'!$C$43</f>
        <v/>
      </c>
      <c r="AA20" s="7">
        <f>AA13*'Case Filter'!$C$43</f>
        <v/>
      </c>
      <c r="AB20" s="7">
        <f>AB13*'Case Filter'!$C$43</f>
        <v/>
      </c>
      <c r="AC20" s="7">
        <f>AC13*'Case Filter'!$C$43</f>
        <v/>
      </c>
      <c r="AD20" s="7">
        <f>AD13*'Case Filter'!$C$43</f>
        <v/>
      </c>
      <c r="AE20" s="7">
        <f>AE13*'Case Filter'!$C$43</f>
        <v/>
      </c>
      <c r="AF20" s="7">
        <f>AF13*'Case Filter'!$C$43</f>
        <v/>
      </c>
      <c r="AG20" s="7">
        <f>AG13*'Case Filter'!$C$43</f>
        <v/>
      </c>
      <c r="AH20" s="7">
        <f>AH13*'Case Filter'!$C$43</f>
        <v/>
      </c>
      <c r="AI20" s="7">
        <f>AI13*'Case Filter'!$C$43</f>
        <v/>
      </c>
      <c r="AJ20" s="7">
        <f>AJ13*'Case Filter'!$C$43</f>
        <v/>
      </c>
      <c r="AK20" s="7">
        <f>AK13*'Case Filter'!$C$43</f>
        <v/>
      </c>
      <c r="AL20" s="7">
        <f>AL13*'Case Filter'!$C$43</f>
        <v/>
      </c>
    </row>
    <row r="21">
      <c r="B21" t="inlineStr">
        <is>
          <t>Net revenue</t>
        </is>
      </c>
      <c r="C21" s="7">
        <f>C19-C20</f>
        <v/>
      </c>
      <c r="D21" s="7">
        <f>D19-D20</f>
        <v/>
      </c>
      <c r="E21" s="7">
        <f>E19-E20</f>
        <v/>
      </c>
      <c r="F21" s="7">
        <f>F19-F20</f>
        <v/>
      </c>
      <c r="G21" s="7">
        <f>G19-G20</f>
        <v/>
      </c>
      <c r="H21" s="7">
        <f>H19-H20</f>
        <v/>
      </c>
      <c r="I21" s="7">
        <f>I19-I20</f>
        <v/>
      </c>
      <c r="J21" s="7">
        <f>J19-J20</f>
        <v/>
      </c>
      <c r="K21" s="7">
        <f>K19-K20</f>
        <v/>
      </c>
      <c r="L21" s="7">
        <f>L19-L20</f>
        <v/>
      </c>
      <c r="M21" s="7">
        <f>M19-M20</f>
        <v/>
      </c>
      <c r="N21" s="7">
        <f>N19-N20</f>
        <v/>
      </c>
      <c r="O21" s="7">
        <f>O19-O20</f>
        <v/>
      </c>
      <c r="P21" s="7">
        <f>P19-P20</f>
        <v/>
      </c>
      <c r="Q21" s="7">
        <f>Q19-Q20</f>
        <v/>
      </c>
      <c r="R21" s="7">
        <f>R19-R20</f>
        <v/>
      </c>
      <c r="S21" s="7">
        <f>S19-S20</f>
        <v/>
      </c>
      <c r="T21" s="7">
        <f>T19-T20</f>
        <v/>
      </c>
      <c r="U21" s="7">
        <f>U19-U20</f>
        <v/>
      </c>
      <c r="V21" s="7">
        <f>V19-V20</f>
        <v/>
      </c>
      <c r="W21" s="7">
        <f>W19-W20</f>
        <v/>
      </c>
      <c r="X21" s="7">
        <f>X19-X20</f>
        <v/>
      </c>
      <c r="Y21" s="7">
        <f>Y19-Y20</f>
        <v/>
      </c>
      <c r="Z21" s="7">
        <f>Z19-Z20</f>
        <v/>
      </c>
      <c r="AA21" s="7">
        <f>AA19-AA20</f>
        <v/>
      </c>
      <c r="AB21" s="7">
        <f>AB19-AB20</f>
        <v/>
      </c>
      <c r="AC21" s="7">
        <f>AC19-AC20</f>
        <v/>
      </c>
      <c r="AD21" s="7">
        <f>AD19-AD20</f>
        <v/>
      </c>
      <c r="AE21" s="7">
        <f>AE19-AE20</f>
        <v/>
      </c>
      <c r="AF21" s="7">
        <f>AF19-AF20</f>
        <v/>
      </c>
      <c r="AG21" s="7">
        <f>AG19-AG20</f>
        <v/>
      </c>
      <c r="AH21" s="7">
        <f>AH19-AH20</f>
        <v/>
      </c>
      <c r="AI21" s="7">
        <f>AI19-AI20</f>
        <v/>
      </c>
      <c r="AJ21" s="7">
        <f>AJ19-AJ20</f>
        <v/>
      </c>
      <c r="AK21" s="7">
        <f>AK19-AK20</f>
        <v/>
      </c>
      <c r="AL21" s="7">
        <f>AL19-AL20</f>
        <v/>
      </c>
    </row>
    <row r="22">
      <c r="B22" t="inlineStr">
        <is>
          <t>Variable COGS — AI Composer</t>
        </is>
      </c>
      <c r="C22" s="7">
        <f>C13*INDEX('Case Filter'!C$29:C$32,'Case Filter'!$C$1+1)*'Case Filter'!$C$44</f>
        <v/>
      </c>
      <c r="D22" s="7">
        <f>D13*INDEX('Case Filter'!D$29:D$32,'Case Filter'!$C$1+1)*'Case Filter'!$C$44</f>
        <v/>
      </c>
      <c r="E22" s="7">
        <f>E13*INDEX('Case Filter'!E$29:E$32,'Case Filter'!$C$1+1)*'Case Filter'!$C$44</f>
        <v/>
      </c>
      <c r="F22" s="7">
        <f>F13*INDEX('Case Filter'!F$29:F$32,'Case Filter'!$C$1+1)*'Case Filter'!$C$44</f>
        <v/>
      </c>
      <c r="G22" s="7">
        <f>G13*INDEX('Case Filter'!G$29:G$32,'Case Filter'!$C$1+1)*'Case Filter'!$C$44</f>
        <v/>
      </c>
      <c r="H22" s="7">
        <f>H13*INDEX('Case Filter'!H$29:H$32,'Case Filter'!$C$1+1)*'Case Filter'!$C$44</f>
        <v/>
      </c>
      <c r="I22" s="7">
        <f>I13*INDEX('Case Filter'!I$29:I$32,'Case Filter'!$C$1+1)*'Case Filter'!$C$44</f>
        <v/>
      </c>
      <c r="J22" s="7">
        <f>J13*INDEX('Case Filter'!J$29:J$32,'Case Filter'!$C$1+1)*'Case Filter'!$C$44</f>
        <v/>
      </c>
      <c r="K22" s="7">
        <f>K13*INDEX('Case Filter'!K$29:K$32,'Case Filter'!$C$1+1)*'Case Filter'!$C$44</f>
        <v/>
      </c>
      <c r="L22" s="7">
        <f>L13*INDEX('Case Filter'!L$29:L$32,'Case Filter'!$C$1+1)*'Case Filter'!$C$44</f>
        <v/>
      </c>
      <c r="M22" s="7">
        <f>M13*INDEX('Case Filter'!M$29:M$32,'Case Filter'!$C$1+1)*'Case Filter'!$C$44</f>
        <v/>
      </c>
      <c r="N22" s="7">
        <f>N13*INDEX('Case Filter'!N$29:N$32,'Case Filter'!$C$1+1)*'Case Filter'!$C$44</f>
        <v/>
      </c>
      <c r="O22" s="7">
        <f>O13*INDEX('Case Filter'!O$29:O$32,'Case Filter'!$C$1+1)*'Case Filter'!$C$44</f>
        <v/>
      </c>
      <c r="P22" s="7">
        <f>P13*INDEX('Case Filter'!P$29:P$32,'Case Filter'!$C$1+1)*'Case Filter'!$C$44</f>
        <v/>
      </c>
      <c r="Q22" s="7">
        <f>Q13*INDEX('Case Filter'!Q$29:Q$32,'Case Filter'!$C$1+1)*'Case Filter'!$C$44</f>
        <v/>
      </c>
      <c r="R22" s="7">
        <f>R13*INDEX('Case Filter'!R$29:R$32,'Case Filter'!$C$1+1)*'Case Filter'!$C$44</f>
        <v/>
      </c>
      <c r="S22" s="7">
        <f>S13*INDEX('Case Filter'!S$29:S$32,'Case Filter'!$C$1+1)*'Case Filter'!$C$44</f>
        <v/>
      </c>
      <c r="T22" s="7">
        <f>T13*INDEX('Case Filter'!T$29:T$32,'Case Filter'!$C$1+1)*'Case Filter'!$C$44</f>
        <v/>
      </c>
      <c r="U22" s="7">
        <f>U13*INDEX('Case Filter'!U$29:U$32,'Case Filter'!$C$1+1)*'Case Filter'!$C$44</f>
        <v/>
      </c>
      <c r="V22" s="7">
        <f>V13*INDEX('Case Filter'!V$29:V$32,'Case Filter'!$C$1+1)*'Case Filter'!$C$44</f>
        <v/>
      </c>
      <c r="W22" s="7">
        <f>W13*INDEX('Case Filter'!W$29:W$32,'Case Filter'!$C$1+1)*'Case Filter'!$C$44</f>
        <v/>
      </c>
      <c r="X22" s="7">
        <f>X13*INDEX('Case Filter'!X$29:X$32,'Case Filter'!$C$1+1)*'Case Filter'!$C$44</f>
        <v/>
      </c>
      <c r="Y22" s="7">
        <f>Y13*INDEX('Case Filter'!Y$29:Y$32,'Case Filter'!$C$1+1)*'Case Filter'!$C$44</f>
        <v/>
      </c>
      <c r="Z22" s="7">
        <f>Z13*INDEX('Case Filter'!Z$29:Z$32,'Case Filter'!$C$1+1)*'Case Filter'!$C$44</f>
        <v/>
      </c>
      <c r="AA22" s="7">
        <f>AA13*INDEX('Case Filter'!AA$29:AA$32,'Case Filter'!$C$1+1)*'Case Filter'!$C$44</f>
        <v/>
      </c>
      <c r="AB22" s="7">
        <f>AB13*INDEX('Case Filter'!AB$29:AB$32,'Case Filter'!$C$1+1)*'Case Filter'!$C$44</f>
        <v/>
      </c>
      <c r="AC22" s="7">
        <f>AC13*INDEX('Case Filter'!AC$29:AC$32,'Case Filter'!$C$1+1)*'Case Filter'!$C$44</f>
        <v/>
      </c>
      <c r="AD22" s="7">
        <f>AD13*INDEX('Case Filter'!AD$29:AD$32,'Case Filter'!$C$1+1)*'Case Filter'!$C$44</f>
        <v/>
      </c>
      <c r="AE22" s="7">
        <f>AE13*INDEX('Case Filter'!AE$29:AE$32,'Case Filter'!$C$1+1)*'Case Filter'!$C$44</f>
        <v/>
      </c>
      <c r="AF22" s="7">
        <f>AF13*INDEX('Case Filter'!AF$29:AF$32,'Case Filter'!$C$1+1)*'Case Filter'!$C$44</f>
        <v/>
      </c>
      <c r="AG22" s="7">
        <f>AG13*INDEX('Case Filter'!AG$29:AG$32,'Case Filter'!$C$1+1)*'Case Filter'!$C$44</f>
        <v/>
      </c>
      <c r="AH22" s="7">
        <f>AH13*INDEX('Case Filter'!AH$29:AH$32,'Case Filter'!$C$1+1)*'Case Filter'!$C$44</f>
        <v/>
      </c>
      <c r="AI22" s="7">
        <f>AI13*INDEX('Case Filter'!AI$29:AI$32,'Case Filter'!$C$1+1)*'Case Filter'!$C$44</f>
        <v/>
      </c>
      <c r="AJ22" s="7">
        <f>AJ13*INDEX('Case Filter'!AJ$29:AJ$32,'Case Filter'!$C$1+1)*'Case Filter'!$C$44</f>
        <v/>
      </c>
      <c r="AK22" s="7">
        <f>AK13*INDEX('Case Filter'!AK$29:AK$32,'Case Filter'!$C$1+1)*'Case Filter'!$C$44</f>
        <v/>
      </c>
      <c r="AL22" s="7">
        <f>AL13*INDEX('Case Filter'!AL$29:AL$32,'Case Filter'!$C$1+1)*'Case Filter'!$C$44</f>
        <v/>
      </c>
    </row>
    <row r="23">
      <c r="B23" t="inlineStr">
        <is>
          <t>Variable COGS — other per Pro</t>
        </is>
      </c>
      <c r="C23" s="7">
        <f>C13*'Case Filter'!$C$45</f>
        <v/>
      </c>
      <c r="D23" s="7">
        <f>D13*'Case Filter'!$C$45</f>
        <v/>
      </c>
      <c r="E23" s="7">
        <f>E13*'Case Filter'!$C$45</f>
        <v/>
      </c>
      <c r="F23" s="7">
        <f>F13*'Case Filter'!$C$45</f>
        <v/>
      </c>
      <c r="G23" s="7">
        <f>G13*'Case Filter'!$C$45</f>
        <v/>
      </c>
      <c r="H23" s="7">
        <f>H13*'Case Filter'!$C$45</f>
        <v/>
      </c>
      <c r="I23" s="7">
        <f>I13*'Case Filter'!$C$45</f>
        <v/>
      </c>
      <c r="J23" s="7">
        <f>J13*'Case Filter'!$C$45</f>
        <v/>
      </c>
      <c r="K23" s="7">
        <f>K13*'Case Filter'!$C$45</f>
        <v/>
      </c>
      <c r="L23" s="7">
        <f>L13*'Case Filter'!$C$45</f>
        <v/>
      </c>
      <c r="M23" s="7">
        <f>M13*'Case Filter'!$C$45</f>
        <v/>
      </c>
      <c r="N23" s="7">
        <f>N13*'Case Filter'!$C$45</f>
        <v/>
      </c>
      <c r="O23" s="7">
        <f>O13*'Case Filter'!$C$45</f>
        <v/>
      </c>
      <c r="P23" s="7">
        <f>P13*'Case Filter'!$C$45</f>
        <v/>
      </c>
      <c r="Q23" s="7">
        <f>Q13*'Case Filter'!$C$45</f>
        <v/>
      </c>
      <c r="R23" s="7">
        <f>R13*'Case Filter'!$C$45</f>
        <v/>
      </c>
      <c r="S23" s="7">
        <f>S13*'Case Filter'!$C$45</f>
        <v/>
      </c>
      <c r="T23" s="7">
        <f>T13*'Case Filter'!$C$45</f>
        <v/>
      </c>
      <c r="U23" s="7">
        <f>U13*'Case Filter'!$C$45</f>
        <v/>
      </c>
      <c r="V23" s="7">
        <f>V13*'Case Filter'!$C$45</f>
        <v/>
      </c>
      <c r="W23" s="7">
        <f>W13*'Case Filter'!$C$45</f>
        <v/>
      </c>
      <c r="X23" s="7">
        <f>X13*'Case Filter'!$C$45</f>
        <v/>
      </c>
      <c r="Y23" s="7">
        <f>Y13*'Case Filter'!$C$45</f>
        <v/>
      </c>
      <c r="Z23" s="7">
        <f>Z13*'Case Filter'!$C$45</f>
        <v/>
      </c>
      <c r="AA23" s="7">
        <f>AA13*'Case Filter'!$C$45</f>
        <v/>
      </c>
      <c r="AB23" s="7">
        <f>AB13*'Case Filter'!$C$45</f>
        <v/>
      </c>
      <c r="AC23" s="7">
        <f>AC13*'Case Filter'!$C$45</f>
        <v/>
      </c>
      <c r="AD23" s="7">
        <f>AD13*'Case Filter'!$C$45</f>
        <v/>
      </c>
      <c r="AE23" s="7">
        <f>AE13*'Case Filter'!$C$45</f>
        <v/>
      </c>
      <c r="AF23" s="7">
        <f>AF13*'Case Filter'!$C$45</f>
        <v/>
      </c>
      <c r="AG23" s="7">
        <f>AG13*'Case Filter'!$C$45</f>
        <v/>
      </c>
      <c r="AH23" s="7">
        <f>AH13*'Case Filter'!$C$45</f>
        <v/>
      </c>
      <c r="AI23" s="7">
        <f>AI13*'Case Filter'!$C$45</f>
        <v/>
      </c>
      <c r="AJ23" s="7">
        <f>AJ13*'Case Filter'!$C$45</f>
        <v/>
      </c>
      <c r="AK23" s="7">
        <f>AK13*'Case Filter'!$C$45</f>
        <v/>
      </c>
      <c r="AL23" s="7">
        <f>AL13*'Case Filter'!$C$45</f>
        <v/>
      </c>
    </row>
    <row r="24">
      <c r="B24" t="inlineStr">
        <is>
          <t>Variable COGS — free user acquisition</t>
        </is>
      </c>
      <c r="C24" s="7">
        <f>(C9-C10)*'Case Filter'!$C$46</f>
        <v/>
      </c>
      <c r="D24" s="7">
        <f>(D9-D10)*'Case Filter'!$C$46</f>
        <v/>
      </c>
      <c r="E24" s="7">
        <f>(E9-E10)*'Case Filter'!$C$46</f>
        <v/>
      </c>
      <c r="F24" s="7">
        <f>(F9-F10)*'Case Filter'!$C$46</f>
        <v/>
      </c>
      <c r="G24" s="7">
        <f>(G9-G10)*'Case Filter'!$C$46</f>
        <v/>
      </c>
      <c r="H24" s="7">
        <f>(H9-H10)*'Case Filter'!$C$46</f>
        <v/>
      </c>
      <c r="I24" s="7">
        <f>(I9-I10)*'Case Filter'!$C$46</f>
        <v/>
      </c>
      <c r="J24" s="7">
        <f>(J9-J10)*'Case Filter'!$C$46</f>
        <v/>
      </c>
      <c r="K24" s="7">
        <f>(K9-K10)*'Case Filter'!$C$46</f>
        <v/>
      </c>
      <c r="L24" s="7">
        <f>(L9-L10)*'Case Filter'!$C$46</f>
        <v/>
      </c>
      <c r="M24" s="7">
        <f>(M9-M10)*'Case Filter'!$C$46</f>
        <v/>
      </c>
      <c r="N24" s="7">
        <f>(N9-N10)*'Case Filter'!$C$46</f>
        <v/>
      </c>
      <c r="O24" s="7">
        <f>(O9-O10)*'Case Filter'!$C$46</f>
        <v/>
      </c>
      <c r="P24" s="7">
        <f>(P9-P10)*'Case Filter'!$C$46</f>
        <v/>
      </c>
      <c r="Q24" s="7">
        <f>(Q9-Q10)*'Case Filter'!$C$46</f>
        <v/>
      </c>
      <c r="R24" s="7">
        <f>(R9-R10)*'Case Filter'!$C$46</f>
        <v/>
      </c>
      <c r="S24" s="7">
        <f>(S9-S10)*'Case Filter'!$C$46</f>
        <v/>
      </c>
      <c r="T24" s="7">
        <f>(T9-T10)*'Case Filter'!$C$46</f>
        <v/>
      </c>
      <c r="U24" s="7">
        <f>(U9-U10)*'Case Filter'!$C$46</f>
        <v/>
      </c>
      <c r="V24" s="7">
        <f>(V9-V10)*'Case Filter'!$C$46</f>
        <v/>
      </c>
      <c r="W24" s="7">
        <f>(W9-W10)*'Case Filter'!$C$46</f>
        <v/>
      </c>
      <c r="X24" s="7">
        <f>(X9-X10)*'Case Filter'!$C$46</f>
        <v/>
      </c>
      <c r="Y24" s="7">
        <f>(Y9-Y10)*'Case Filter'!$C$46</f>
        <v/>
      </c>
      <c r="Z24" s="7">
        <f>(Z9-Z10)*'Case Filter'!$C$46</f>
        <v/>
      </c>
      <c r="AA24" s="7">
        <f>(AA9-AA10)*'Case Filter'!$C$46</f>
        <v/>
      </c>
      <c r="AB24" s="7">
        <f>(AB9-AB10)*'Case Filter'!$C$46</f>
        <v/>
      </c>
      <c r="AC24" s="7">
        <f>(AC9-AC10)*'Case Filter'!$C$46</f>
        <v/>
      </c>
      <c r="AD24" s="7">
        <f>(AD9-AD10)*'Case Filter'!$C$46</f>
        <v/>
      </c>
      <c r="AE24" s="7">
        <f>(AE9-AE10)*'Case Filter'!$C$46</f>
        <v/>
      </c>
      <c r="AF24" s="7">
        <f>(AF9-AF10)*'Case Filter'!$C$46</f>
        <v/>
      </c>
      <c r="AG24" s="7">
        <f>(AG9-AG10)*'Case Filter'!$C$46</f>
        <v/>
      </c>
      <c r="AH24" s="7">
        <f>(AH9-AH10)*'Case Filter'!$C$46</f>
        <v/>
      </c>
      <c r="AI24" s="7">
        <f>(AI9-AI10)*'Case Filter'!$C$46</f>
        <v/>
      </c>
      <c r="AJ24" s="7">
        <f>(AJ9-AJ10)*'Case Filter'!$C$46</f>
        <v/>
      </c>
      <c r="AK24" s="7">
        <f>(AK9-AK10)*'Case Filter'!$C$46</f>
        <v/>
      </c>
      <c r="AL24" s="7">
        <f>(AL9-AL10)*'Case Filter'!$C$46</f>
        <v/>
      </c>
    </row>
    <row r="25">
      <c r="B25" t="inlineStr">
        <is>
          <t>Total variable COGS</t>
        </is>
      </c>
      <c r="C25" s="7">
        <f>SUM(C22:C24)</f>
        <v/>
      </c>
      <c r="D25" s="7">
        <f>SUM(D22:D24)</f>
        <v/>
      </c>
      <c r="E25" s="7">
        <f>SUM(E22:E24)</f>
        <v/>
      </c>
      <c r="F25" s="7">
        <f>SUM(F22:F24)</f>
        <v/>
      </c>
      <c r="G25" s="7">
        <f>SUM(G22:G24)</f>
        <v/>
      </c>
      <c r="H25" s="7">
        <f>SUM(H22:H24)</f>
        <v/>
      </c>
      <c r="I25" s="7">
        <f>SUM(I22:I24)</f>
        <v/>
      </c>
      <c r="J25" s="7">
        <f>SUM(J22:J24)</f>
        <v/>
      </c>
      <c r="K25" s="7">
        <f>SUM(K22:K24)</f>
        <v/>
      </c>
      <c r="L25" s="7">
        <f>SUM(L22:L24)</f>
        <v/>
      </c>
      <c r="M25" s="7">
        <f>SUM(M22:M24)</f>
        <v/>
      </c>
      <c r="N25" s="7">
        <f>SUM(N22:N24)</f>
        <v/>
      </c>
      <c r="O25" s="7">
        <f>SUM(O22:O24)</f>
        <v/>
      </c>
      <c r="P25" s="7">
        <f>SUM(P22:P24)</f>
        <v/>
      </c>
      <c r="Q25" s="7">
        <f>SUM(Q22:Q24)</f>
        <v/>
      </c>
      <c r="R25" s="7">
        <f>SUM(R22:R24)</f>
        <v/>
      </c>
      <c r="S25" s="7">
        <f>SUM(S22:S24)</f>
        <v/>
      </c>
      <c r="T25" s="7">
        <f>SUM(T22:T24)</f>
        <v/>
      </c>
      <c r="U25" s="7">
        <f>SUM(U22:U24)</f>
        <v/>
      </c>
      <c r="V25" s="7">
        <f>SUM(V22:V24)</f>
        <v/>
      </c>
      <c r="W25" s="7">
        <f>SUM(W22:W24)</f>
        <v/>
      </c>
      <c r="X25" s="7">
        <f>SUM(X22:X24)</f>
        <v/>
      </c>
      <c r="Y25" s="7">
        <f>SUM(Y22:Y24)</f>
        <v/>
      </c>
      <c r="Z25" s="7">
        <f>SUM(Z22:Z24)</f>
        <v/>
      </c>
      <c r="AA25" s="7">
        <f>SUM(AA22:AA24)</f>
        <v/>
      </c>
      <c r="AB25" s="7">
        <f>SUM(AB22:AB24)</f>
        <v/>
      </c>
      <c r="AC25" s="7">
        <f>SUM(AC22:AC24)</f>
        <v/>
      </c>
      <c r="AD25" s="7">
        <f>SUM(AD22:AD24)</f>
        <v/>
      </c>
      <c r="AE25" s="7">
        <f>SUM(AE22:AE24)</f>
        <v/>
      </c>
      <c r="AF25" s="7">
        <f>SUM(AF22:AF24)</f>
        <v/>
      </c>
      <c r="AG25" s="7">
        <f>SUM(AG22:AG24)</f>
        <v/>
      </c>
      <c r="AH25" s="7">
        <f>SUM(AH22:AH24)</f>
        <v/>
      </c>
      <c r="AI25" s="7">
        <f>SUM(AI22:AI24)</f>
        <v/>
      </c>
      <c r="AJ25" s="7">
        <f>SUM(AJ22:AJ24)</f>
        <v/>
      </c>
      <c r="AK25" s="7">
        <f>SUM(AK22:AK24)</f>
        <v/>
      </c>
      <c r="AL25" s="7">
        <f>SUM(AL22:AL24)</f>
        <v/>
      </c>
    </row>
    <row r="26">
      <c r="B26" t="inlineStr">
        <is>
          <t>Gross profit</t>
        </is>
      </c>
      <c r="C26" s="7">
        <f>C21-C25</f>
        <v/>
      </c>
      <c r="D26" s="7">
        <f>D21-D25</f>
        <v/>
      </c>
      <c r="E26" s="7">
        <f>E21-E25</f>
        <v/>
      </c>
      <c r="F26" s="7">
        <f>F21-F25</f>
        <v/>
      </c>
      <c r="G26" s="7">
        <f>G21-G25</f>
        <v/>
      </c>
      <c r="H26" s="7">
        <f>H21-H25</f>
        <v/>
      </c>
      <c r="I26" s="7">
        <f>I21-I25</f>
        <v/>
      </c>
      <c r="J26" s="7">
        <f>J21-J25</f>
        <v/>
      </c>
      <c r="K26" s="7">
        <f>K21-K25</f>
        <v/>
      </c>
      <c r="L26" s="7">
        <f>L21-L25</f>
        <v/>
      </c>
      <c r="M26" s="7">
        <f>M21-M25</f>
        <v/>
      </c>
      <c r="N26" s="7">
        <f>N21-N25</f>
        <v/>
      </c>
      <c r="O26" s="7">
        <f>O21-O25</f>
        <v/>
      </c>
      <c r="P26" s="7">
        <f>P21-P25</f>
        <v/>
      </c>
      <c r="Q26" s="7">
        <f>Q21-Q25</f>
        <v/>
      </c>
      <c r="R26" s="7">
        <f>R21-R25</f>
        <v/>
      </c>
      <c r="S26" s="7">
        <f>S21-S25</f>
        <v/>
      </c>
      <c r="T26" s="7">
        <f>T21-T25</f>
        <v/>
      </c>
      <c r="U26" s="7">
        <f>U21-U25</f>
        <v/>
      </c>
      <c r="V26" s="7">
        <f>V21-V25</f>
        <v/>
      </c>
      <c r="W26" s="7">
        <f>W21-W25</f>
        <v/>
      </c>
      <c r="X26" s="7">
        <f>X21-X25</f>
        <v/>
      </c>
      <c r="Y26" s="7">
        <f>Y21-Y25</f>
        <v/>
      </c>
      <c r="Z26" s="7">
        <f>Z21-Z25</f>
        <v/>
      </c>
      <c r="AA26" s="7">
        <f>AA21-AA25</f>
        <v/>
      </c>
      <c r="AB26" s="7">
        <f>AB21-AB25</f>
        <v/>
      </c>
      <c r="AC26" s="7">
        <f>AC21-AC25</f>
        <v/>
      </c>
      <c r="AD26" s="7">
        <f>AD21-AD25</f>
        <v/>
      </c>
      <c r="AE26" s="7">
        <f>AE21-AE25</f>
        <v/>
      </c>
      <c r="AF26" s="7">
        <f>AF21-AF25</f>
        <v/>
      </c>
      <c r="AG26" s="7">
        <f>AG21-AG25</f>
        <v/>
      </c>
      <c r="AH26" s="7">
        <f>AH21-AH25</f>
        <v/>
      </c>
      <c r="AI26" s="7">
        <f>AI21-AI25</f>
        <v/>
      </c>
      <c r="AJ26" s="7">
        <f>AJ21-AJ25</f>
        <v/>
      </c>
      <c r="AK26" s="7">
        <f>AK21-AK25</f>
        <v/>
      </c>
      <c r="AL26" s="7">
        <f>AL21-AL25</f>
        <v/>
      </c>
    </row>
    <row r="27">
      <c r="B27" t="inlineStr">
        <is>
          <t>Gross margin %</t>
        </is>
      </c>
      <c r="C27" s="6">
        <f>IF(C21=0,"NM",C26/C21)</f>
        <v/>
      </c>
      <c r="D27" s="6">
        <f>IF(D21=0,"NM",D26/D21)</f>
        <v/>
      </c>
      <c r="E27" s="6">
        <f>IF(E21=0,"NM",E26/E21)</f>
        <v/>
      </c>
      <c r="F27" s="6">
        <f>IF(F21=0,"NM",F26/F21)</f>
        <v/>
      </c>
      <c r="G27" s="6">
        <f>IF(G21=0,"NM",G26/G21)</f>
        <v/>
      </c>
      <c r="H27" s="6">
        <f>IF(H21=0,"NM",H26/H21)</f>
        <v/>
      </c>
      <c r="I27" s="6">
        <f>IF(I21=0,"NM",I26/I21)</f>
        <v/>
      </c>
      <c r="J27" s="6">
        <f>IF(J21=0,"NM",J26/J21)</f>
        <v/>
      </c>
      <c r="K27" s="6">
        <f>IF(K21=0,"NM",K26/K21)</f>
        <v/>
      </c>
      <c r="L27" s="6">
        <f>IF(L21=0,"NM",L26/L21)</f>
        <v/>
      </c>
      <c r="M27" s="6">
        <f>IF(M21=0,"NM",M26/M21)</f>
        <v/>
      </c>
      <c r="N27" s="6">
        <f>IF(N21=0,"NM",N26/N21)</f>
        <v/>
      </c>
      <c r="O27" s="6">
        <f>IF(O21=0,"NM",O26/O21)</f>
        <v/>
      </c>
      <c r="P27" s="6">
        <f>IF(P21=0,"NM",P26/P21)</f>
        <v/>
      </c>
      <c r="Q27" s="6">
        <f>IF(Q21=0,"NM",Q26/Q21)</f>
        <v/>
      </c>
      <c r="R27" s="6">
        <f>IF(R21=0,"NM",R26/R21)</f>
        <v/>
      </c>
      <c r="S27" s="6">
        <f>IF(S21=0,"NM",S26/S21)</f>
        <v/>
      </c>
      <c r="T27" s="6">
        <f>IF(T21=0,"NM",T26/T21)</f>
        <v/>
      </c>
      <c r="U27" s="6">
        <f>IF(U21=0,"NM",U26/U21)</f>
        <v/>
      </c>
      <c r="V27" s="6">
        <f>IF(V21=0,"NM",V26/V21)</f>
        <v/>
      </c>
      <c r="W27" s="6">
        <f>IF(W21=0,"NM",W26/W21)</f>
        <v/>
      </c>
      <c r="X27" s="6">
        <f>IF(X21=0,"NM",X26/X21)</f>
        <v/>
      </c>
      <c r="Y27" s="6">
        <f>IF(Y21=0,"NM",Y26/Y21)</f>
        <v/>
      </c>
      <c r="Z27" s="6">
        <f>IF(Z21=0,"NM",Z26/Z21)</f>
        <v/>
      </c>
      <c r="AA27" s="6">
        <f>IF(AA21=0,"NM",AA26/AA21)</f>
        <v/>
      </c>
      <c r="AB27" s="6">
        <f>IF(AB21=0,"NM",AB26/AB21)</f>
        <v/>
      </c>
      <c r="AC27" s="6">
        <f>IF(AC21=0,"NM",AC26/AC21)</f>
        <v/>
      </c>
      <c r="AD27" s="6">
        <f>IF(AD21=0,"NM",AD26/AD21)</f>
        <v/>
      </c>
      <c r="AE27" s="6">
        <f>IF(AE21=0,"NM",AE26/AE21)</f>
        <v/>
      </c>
      <c r="AF27" s="6">
        <f>IF(AF21=0,"NM",AF26/AF21)</f>
        <v/>
      </c>
      <c r="AG27" s="6">
        <f>IF(AG21=0,"NM",AG26/AG21)</f>
        <v/>
      </c>
      <c r="AH27" s="6">
        <f>IF(AH21=0,"NM",AH26/AH21)</f>
        <v/>
      </c>
      <c r="AI27" s="6">
        <f>IF(AI21=0,"NM",AI26/AI21)</f>
        <v/>
      </c>
      <c r="AJ27" s="6">
        <f>IF(AJ21=0,"NM",AJ26/AJ21)</f>
        <v/>
      </c>
      <c r="AK27" s="6">
        <f>IF(AK21=0,"NM",AK26/AK21)</f>
        <v/>
      </c>
      <c r="AL27" s="6">
        <f>IF(AL21=0,"NM",AL26/AL21)</f>
        <v/>
      </c>
    </row>
    <row r="29">
      <c r="B29" s="8" t="inlineStr">
        <is>
          <t>Operating Expenses</t>
        </is>
      </c>
    </row>
    <row r="30">
      <c r="B30" t="inlineStr">
        <is>
          <t>Fixed infrastructure</t>
        </is>
      </c>
      <c r="C30" s="7">
        <f>'Case Filter'!$C$47</f>
        <v/>
      </c>
      <c r="D30" s="7">
        <f>'Case Filter'!$C$47</f>
        <v/>
      </c>
      <c r="E30" s="7">
        <f>'Case Filter'!$C$47</f>
        <v/>
      </c>
      <c r="F30" s="7">
        <f>'Case Filter'!$C$47</f>
        <v/>
      </c>
      <c r="G30" s="7">
        <f>'Case Filter'!$C$47</f>
        <v/>
      </c>
      <c r="H30" s="7">
        <f>'Case Filter'!$C$47</f>
        <v/>
      </c>
      <c r="I30" s="7">
        <f>'Case Filter'!$C$47</f>
        <v/>
      </c>
      <c r="J30" s="7">
        <f>'Case Filter'!$C$47</f>
        <v/>
      </c>
      <c r="K30" s="7">
        <f>'Case Filter'!$C$47</f>
        <v/>
      </c>
      <c r="L30" s="7">
        <f>'Case Filter'!$C$47</f>
        <v/>
      </c>
      <c r="M30" s="7">
        <f>'Case Filter'!$C$47</f>
        <v/>
      </c>
      <c r="N30" s="7">
        <f>'Case Filter'!$C$47</f>
        <v/>
      </c>
      <c r="O30" s="7">
        <f>'Case Filter'!$C$47</f>
        <v/>
      </c>
      <c r="P30" s="7">
        <f>'Case Filter'!$C$47</f>
        <v/>
      </c>
      <c r="Q30" s="7">
        <f>'Case Filter'!$C$47</f>
        <v/>
      </c>
      <c r="R30" s="7">
        <f>'Case Filter'!$C$47</f>
        <v/>
      </c>
      <c r="S30" s="7">
        <f>'Case Filter'!$C$47</f>
        <v/>
      </c>
      <c r="T30" s="7">
        <f>'Case Filter'!$C$47</f>
        <v/>
      </c>
      <c r="U30" s="7">
        <f>'Case Filter'!$C$47</f>
        <v/>
      </c>
      <c r="V30" s="7">
        <f>'Case Filter'!$C$47</f>
        <v/>
      </c>
      <c r="W30" s="7">
        <f>'Case Filter'!$C$47</f>
        <v/>
      </c>
      <c r="X30" s="7">
        <f>'Case Filter'!$C$47</f>
        <v/>
      </c>
      <c r="Y30" s="7">
        <f>'Case Filter'!$C$47</f>
        <v/>
      </c>
      <c r="Z30" s="7">
        <f>'Case Filter'!$C$47</f>
        <v/>
      </c>
      <c r="AA30" s="7">
        <f>'Case Filter'!$C$47</f>
        <v/>
      </c>
      <c r="AB30" s="7">
        <f>'Case Filter'!$C$47</f>
        <v/>
      </c>
      <c r="AC30" s="7">
        <f>'Case Filter'!$C$47</f>
        <v/>
      </c>
      <c r="AD30" s="7">
        <f>'Case Filter'!$C$47</f>
        <v/>
      </c>
      <c r="AE30" s="7">
        <f>'Case Filter'!$C$47</f>
        <v/>
      </c>
      <c r="AF30" s="7">
        <f>'Case Filter'!$C$47</f>
        <v/>
      </c>
      <c r="AG30" s="7">
        <f>'Case Filter'!$C$47</f>
        <v/>
      </c>
      <c r="AH30" s="7">
        <f>'Case Filter'!$C$47</f>
        <v/>
      </c>
      <c r="AI30" s="7">
        <f>'Case Filter'!$C$47</f>
        <v/>
      </c>
      <c r="AJ30" s="7">
        <f>'Case Filter'!$C$47</f>
        <v/>
      </c>
      <c r="AK30" s="7">
        <f>'Case Filter'!$C$47</f>
        <v/>
      </c>
      <c r="AL30" s="7">
        <f>'Case Filter'!$C$47</f>
        <v/>
      </c>
    </row>
    <row r="31">
      <c r="B31" t="inlineStr">
        <is>
          <t>Founder / team salary</t>
        </is>
      </c>
      <c r="C31" s="7">
        <f>'Case Filter'!$C$48</f>
        <v/>
      </c>
      <c r="D31" s="7">
        <f>'Case Filter'!$C$48</f>
        <v/>
      </c>
      <c r="E31" s="7">
        <f>'Case Filter'!$C$48</f>
        <v/>
      </c>
      <c r="F31" s="7">
        <f>'Case Filter'!$C$48</f>
        <v/>
      </c>
      <c r="G31" s="7">
        <f>'Case Filter'!$C$48</f>
        <v/>
      </c>
      <c r="H31" s="7">
        <f>'Case Filter'!$C$48</f>
        <v/>
      </c>
      <c r="I31" s="7">
        <f>'Case Filter'!$C$48</f>
        <v/>
      </c>
      <c r="J31" s="7">
        <f>'Case Filter'!$C$48</f>
        <v/>
      </c>
      <c r="K31" s="7">
        <f>'Case Filter'!$C$48</f>
        <v/>
      </c>
      <c r="L31" s="7">
        <f>'Case Filter'!$C$48</f>
        <v/>
      </c>
      <c r="M31" s="7">
        <f>'Case Filter'!$C$48</f>
        <v/>
      </c>
      <c r="N31" s="7">
        <f>'Case Filter'!$C$48</f>
        <v/>
      </c>
      <c r="O31" s="7">
        <f>'Case Filter'!$C$49</f>
        <v/>
      </c>
      <c r="P31" s="7">
        <f>'Case Filter'!$C$49</f>
        <v/>
      </c>
      <c r="Q31" s="7">
        <f>'Case Filter'!$C$49</f>
        <v/>
      </c>
      <c r="R31" s="7">
        <f>'Case Filter'!$C$49</f>
        <v/>
      </c>
      <c r="S31" s="7">
        <f>'Case Filter'!$C$49</f>
        <v/>
      </c>
      <c r="T31" s="7">
        <f>'Case Filter'!$C$49</f>
        <v/>
      </c>
      <c r="U31" s="7">
        <f>'Case Filter'!$C$49</f>
        <v/>
      </c>
      <c r="V31" s="7">
        <f>'Case Filter'!$C$49</f>
        <v/>
      </c>
      <c r="W31" s="7">
        <f>'Case Filter'!$C$49</f>
        <v/>
      </c>
      <c r="X31" s="7">
        <f>'Case Filter'!$C$49</f>
        <v/>
      </c>
      <c r="Y31" s="7">
        <f>'Case Filter'!$C$49</f>
        <v/>
      </c>
      <c r="Z31" s="7">
        <f>'Case Filter'!$C$49</f>
        <v/>
      </c>
      <c r="AA31" s="7">
        <f>'Case Filter'!$C$50</f>
        <v/>
      </c>
      <c r="AB31" s="7">
        <f>'Case Filter'!$C$50</f>
        <v/>
      </c>
      <c r="AC31" s="7">
        <f>'Case Filter'!$C$50</f>
        <v/>
      </c>
      <c r="AD31" s="7">
        <f>'Case Filter'!$C$50</f>
        <v/>
      </c>
      <c r="AE31" s="7">
        <f>'Case Filter'!$C$50</f>
        <v/>
      </c>
      <c r="AF31" s="7">
        <f>'Case Filter'!$C$50</f>
        <v/>
      </c>
      <c r="AG31" s="7">
        <f>'Case Filter'!$C$50</f>
        <v/>
      </c>
      <c r="AH31" s="7">
        <f>'Case Filter'!$C$50</f>
        <v/>
      </c>
      <c r="AI31" s="7">
        <f>'Case Filter'!$C$50</f>
        <v/>
      </c>
      <c r="AJ31" s="7">
        <f>'Case Filter'!$C$50</f>
        <v/>
      </c>
      <c r="AK31" s="7">
        <f>'Case Filter'!$C$50</f>
        <v/>
      </c>
      <c r="AL31" s="7">
        <f>'Case Filter'!$C$50</f>
        <v/>
      </c>
    </row>
    <row r="32">
      <c r="B32" t="inlineStr">
        <is>
          <t>Contract development</t>
        </is>
      </c>
      <c r="C32" s="7">
        <f>'Case Filter'!$C$51</f>
        <v/>
      </c>
      <c r="D32" s="7">
        <f>'Case Filter'!$C$51</f>
        <v/>
      </c>
      <c r="E32" s="7">
        <f>'Case Filter'!$C$51</f>
        <v/>
      </c>
      <c r="F32" s="7">
        <f>'Case Filter'!$C$51</f>
        <v/>
      </c>
      <c r="G32" s="7">
        <f>'Case Filter'!$C$51</f>
        <v/>
      </c>
      <c r="H32" s="7">
        <f>'Case Filter'!$C$51</f>
        <v/>
      </c>
      <c r="I32" s="7">
        <f>'Case Filter'!$C$51</f>
        <v/>
      </c>
      <c r="J32" s="7">
        <f>'Case Filter'!$C$51</f>
        <v/>
      </c>
      <c r="K32" s="7">
        <f>'Case Filter'!$C$51</f>
        <v/>
      </c>
      <c r="L32" s="7">
        <f>'Case Filter'!$C$51</f>
        <v/>
      </c>
      <c r="M32" s="7">
        <f>'Case Filter'!$C$51</f>
        <v/>
      </c>
      <c r="N32" s="7">
        <f>'Case Filter'!$C$51</f>
        <v/>
      </c>
      <c r="O32" s="7">
        <f>'Case Filter'!$C$51</f>
        <v/>
      </c>
      <c r="P32" s="7">
        <f>'Case Filter'!$C$51</f>
        <v/>
      </c>
      <c r="Q32" s="7">
        <f>'Case Filter'!$C$51</f>
        <v/>
      </c>
      <c r="R32" s="7">
        <f>'Case Filter'!$C$51</f>
        <v/>
      </c>
      <c r="S32" s="7">
        <f>'Case Filter'!$C$51</f>
        <v/>
      </c>
      <c r="T32" s="7">
        <f>'Case Filter'!$C$51</f>
        <v/>
      </c>
      <c r="U32" s="7">
        <f>'Case Filter'!$C$51</f>
        <v/>
      </c>
      <c r="V32" s="7">
        <f>'Case Filter'!$C$51</f>
        <v/>
      </c>
      <c r="W32" s="7">
        <f>'Case Filter'!$C$51</f>
        <v/>
      </c>
      <c r="X32" s="7">
        <f>'Case Filter'!$C$51</f>
        <v/>
      </c>
      <c r="Y32" s="7">
        <f>'Case Filter'!$C$51</f>
        <v/>
      </c>
      <c r="Z32" s="7">
        <f>'Case Filter'!$C$51</f>
        <v/>
      </c>
      <c r="AA32" s="7">
        <f>'Case Filter'!$C$51</f>
        <v/>
      </c>
      <c r="AB32" s="7">
        <f>'Case Filter'!$C$51</f>
        <v/>
      </c>
      <c r="AC32" s="7">
        <f>'Case Filter'!$C$51</f>
        <v/>
      </c>
      <c r="AD32" s="7">
        <f>'Case Filter'!$C$51</f>
        <v/>
      </c>
      <c r="AE32" s="7">
        <f>'Case Filter'!$C$51</f>
        <v/>
      </c>
      <c r="AF32" s="7">
        <f>'Case Filter'!$C$51</f>
        <v/>
      </c>
      <c r="AG32" s="7">
        <f>'Case Filter'!$C$51</f>
        <v/>
      </c>
      <c r="AH32" s="7">
        <f>'Case Filter'!$C$51</f>
        <v/>
      </c>
      <c r="AI32" s="7">
        <f>'Case Filter'!$C$51</f>
        <v/>
      </c>
      <c r="AJ32" s="7">
        <f>'Case Filter'!$C$51</f>
        <v/>
      </c>
      <c r="AK32" s="7">
        <f>'Case Filter'!$C$51</f>
        <v/>
      </c>
      <c r="AL32" s="7">
        <f>'Case Filter'!$C$51</f>
        <v/>
      </c>
    </row>
    <row r="33">
      <c r="B33" t="inlineStr">
        <is>
          <t>Legal &amp; accounting</t>
        </is>
      </c>
      <c r="C33" s="7">
        <f>'Case Filter'!$C$52</f>
        <v/>
      </c>
      <c r="D33" s="7">
        <f>'Case Filter'!$C$52</f>
        <v/>
      </c>
      <c r="E33" s="7">
        <f>'Case Filter'!$C$52</f>
        <v/>
      </c>
      <c r="F33" s="7">
        <f>'Case Filter'!$C$52</f>
        <v/>
      </c>
      <c r="G33" s="7">
        <f>'Case Filter'!$C$52</f>
        <v/>
      </c>
      <c r="H33" s="7">
        <f>'Case Filter'!$C$52</f>
        <v/>
      </c>
      <c r="I33" s="7">
        <f>'Case Filter'!$C$52</f>
        <v/>
      </c>
      <c r="J33" s="7">
        <f>'Case Filter'!$C$52</f>
        <v/>
      </c>
      <c r="K33" s="7">
        <f>'Case Filter'!$C$52</f>
        <v/>
      </c>
      <c r="L33" s="7">
        <f>'Case Filter'!$C$52</f>
        <v/>
      </c>
      <c r="M33" s="7">
        <f>'Case Filter'!$C$52</f>
        <v/>
      </c>
      <c r="N33" s="7">
        <f>'Case Filter'!$C$52</f>
        <v/>
      </c>
      <c r="O33" s="7">
        <f>'Case Filter'!$C$52</f>
        <v/>
      </c>
      <c r="P33" s="7">
        <f>'Case Filter'!$C$52</f>
        <v/>
      </c>
      <c r="Q33" s="7">
        <f>'Case Filter'!$C$52</f>
        <v/>
      </c>
      <c r="R33" s="7">
        <f>'Case Filter'!$C$52</f>
        <v/>
      </c>
      <c r="S33" s="7">
        <f>'Case Filter'!$C$52</f>
        <v/>
      </c>
      <c r="T33" s="7">
        <f>'Case Filter'!$C$52</f>
        <v/>
      </c>
      <c r="U33" s="7">
        <f>'Case Filter'!$C$52</f>
        <v/>
      </c>
      <c r="V33" s="7">
        <f>'Case Filter'!$C$52</f>
        <v/>
      </c>
      <c r="W33" s="7">
        <f>'Case Filter'!$C$52</f>
        <v/>
      </c>
      <c r="X33" s="7">
        <f>'Case Filter'!$C$52</f>
        <v/>
      </c>
      <c r="Y33" s="7">
        <f>'Case Filter'!$C$52</f>
        <v/>
      </c>
      <c r="Z33" s="7">
        <f>'Case Filter'!$C$52</f>
        <v/>
      </c>
      <c r="AA33" s="7">
        <f>'Case Filter'!$C$52</f>
        <v/>
      </c>
      <c r="AB33" s="7">
        <f>'Case Filter'!$C$52</f>
        <v/>
      </c>
      <c r="AC33" s="7">
        <f>'Case Filter'!$C$52</f>
        <v/>
      </c>
      <c r="AD33" s="7">
        <f>'Case Filter'!$C$52</f>
        <v/>
      </c>
      <c r="AE33" s="7">
        <f>'Case Filter'!$C$52</f>
        <v/>
      </c>
      <c r="AF33" s="7">
        <f>'Case Filter'!$C$52</f>
        <v/>
      </c>
      <c r="AG33" s="7">
        <f>'Case Filter'!$C$52</f>
        <v/>
      </c>
      <c r="AH33" s="7">
        <f>'Case Filter'!$C$52</f>
        <v/>
      </c>
      <c r="AI33" s="7">
        <f>'Case Filter'!$C$52</f>
        <v/>
      </c>
      <c r="AJ33" s="7">
        <f>'Case Filter'!$C$52</f>
        <v/>
      </c>
      <c r="AK33" s="7">
        <f>'Case Filter'!$C$52</f>
        <v/>
      </c>
      <c r="AL33" s="7">
        <f>'Case Filter'!$C$52</f>
        <v/>
      </c>
    </row>
    <row r="34">
      <c r="B34" t="inlineStr">
        <is>
          <t>Paid marketing</t>
        </is>
      </c>
      <c r="C34" s="7">
        <f>INDEX('Case Filter'!C$36:C$39,'Case Filter'!$C$1+1)</f>
        <v/>
      </c>
      <c r="D34" s="7">
        <f>INDEX('Case Filter'!D$36:D$39,'Case Filter'!$C$1+1)</f>
        <v/>
      </c>
      <c r="E34" s="7">
        <f>INDEX('Case Filter'!E$36:E$39,'Case Filter'!$C$1+1)</f>
        <v/>
      </c>
      <c r="F34" s="7">
        <f>INDEX('Case Filter'!F$36:F$39,'Case Filter'!$C$1+1)</f>
        <v/>
      </c>
      <c r="G34" s="7">
        <f>INDEX('Case Filter'!G$36:G$39,'Case Filter'!$C$1+1)</f>
        <v/>
      </c>
      <c r="H34" s="7">
        <f>INDEX('Case Filter'!H$36:H$39,'Case Filter'!$C$1+1)</f>
        <v/>
      </c>
      <c r="I34" s="7">
        <f>INDEX('Case Filter'!I$36:I$39,'Case Filter'!$C$1+1)</f>
        <v/>
      </c>
      <c r="J34" s="7">
        <f>INDEX('Case Filter'!J$36:J$39,'Case Filter'!$C$1+1)</f>
        <v/>
      </c>
      <c r="K34" s="7">
        <f>INDEX('Case Filter'!K$36:K$39,'Case Filter'!$C$1+1)</f>
        <v/>
      </c>
      <c r="L34" s="7">
        <f>INDEX('Case Filter'!L$36:L$39,'Case Filter'!$C$1+1)</f>
        <v/>
      </c>
      <c r="M34" s="7">
        <f>INDEX('Case Filter'!M$36:M$39,'Case Filter'!$C$1+1)</f>
        <v/>
      </c>
      <c r="N34" s="7">
        <f>INDEX('Case Filter'!N$36:N$39,'Case Filter'!$C$1+1)</f>
        <v/>
      </c>
      <c r="O34" s="7">
        <f>INDEX('Case Filter'!O$36:O$39,'Case Filter'!$C$1+1)</f>
        <v/>
      </c>
      <c r="P34" s="7">
        <f>INDEX('Case Filter'!P$36:P$39,'Case Filter'!$C$1+1)</f>
        <v/>
      </c>
      <c r="Q34" s="7">
        <f>INDEX('Case Filter'!Q$36:Q$39,'Case Filter'!$C$1+1)</f>
        <v/>
      </c>
      <c r="R34" s="7">
        <f>INDEX('Case Filter'!R$36:R$39,'Case Filter'!$C$1+1)</f>
        <v/>
      </c>
      <c r="S34" s="7">
        <f>INDEX('Case Filter'!S$36:S$39,'Case Filter'!$C$1+1)</f>
        <v/>
      </c>
      <c r="T34" s="7">
        <f>INDEX('Case Filter'!T$36:T$39,'Case Filter'!$C$1+1)</f>
        <v/>
      </c>
      <c r="U34" s="7">
        <f>INDEX('Case Filter'!U$36:U$39,'Case Filter'!$C$1+1)</f>
        <v/>
      </c>
      <c r="V34" s="7">
        <f>INDEX('Case Filter'!V$36:V$39,'Case Filter'!$C$1+1)</f>
        <v/>
      </c>
      <c r="W34" s="7">
        <f>INDEX('Case Filter'!W$36:W$39,'Case Filter'!$C$1+1)</f>
        <v/>
      </c>
      <c r="X34" s="7">
        <f>INDEX('Case Filter'!X$36:X$39,'Case Filter'!$C$1+1)</f>
        <v/>
      </c>
      <c r="Y34" s="7">
        <f>INDEX('Case Filter'!Y$36:Y$39,'Case Filter'!$C$1+1)</f>
        <v/>
      </c>
      <c r="Z34" s="7">
        <f>INDEX('Case Filter'!Z$36:Z$39,'Case Filter'!$C$1+1)</f>
        <v/>
      </c>
      <c r="AA34" s="7">
        <f>INDEX('Case Filter'!AA$36:AA$39,'Case Filter'!$C$1+1)</f>
        <v/>
      </c>
      <c r="AB34" s="7">
        <f>INDEX('Case Filter'!AB$36:AB$39,'Case Filter'!$C$1+1)</f>
        <v/>
      </c>
      <c r="AC34" s="7">
        <f>INDEX('Case Filter'!AC$36:AC$39,'Case Filter'!$C$1+1)</f>
        <v/>
      </c>
      <c r="AD34" s="7">
        <f>INDEX('Case Filter'!AD$36:AD$39,'Case Filter'!$C$1+1)</f>
        <v/>
      </c>
      <c r="AE34" s="7">
        <f>INDEX('Case Filter'!AE$36:AE$39,'Case Filter'!$C$1+1)</f>
        <v/>
      </c>
      <c r="AF34" s="7">
        <f>INDEX('Case Filter'!AF$36:AF$39,'Case Filter'!$C$1+1)</f>
        <v/>
      </c>
      <c r="AG34" s="7">
        <f>INDEX('Case Filter'!AG$36:AG$39,'Case Filter'!$C$1+1)</f>
        <v/>
      </c>
      <c r="AH34" s="7">
        <f>INDEX('Case Filter'!AH$36:AH$39,'Case Filter'!$C$1+1)</f>
        <v/>
      </c>
      <c r="AI34" s="7">
        <f>INDEX('Case Filter'!AI$36:AI$39,'Case Filter'!$C$1+1)</f>
        <v/>
      </c>
      <c r="AJ34" s="7">
        <f>INDEX('Case Filter'!AJ$36:AJ$39,'Case Filter'!$C$1+1)</f>
        <v/>
      </c>
      <c r="AK34" s="7">
        <f>INDEX('Case Filter'!AK$36:AK$39,'Case Filter'!$C$1+1)</f>
        <v/>
      </c>
      <c r="AL34" s="7">
        <f>INDEX('Case Filter'!AL$36:AL$39,'Case Filter'!$C$1+1)</f>
        <v/>
      </c>
    </row>
    <row r="35">
      <c r="B35" t="inlineStr">
        <is>
          <t>One-time costs</t>
        </is>
      </c>
      <c r="C35" s="7">
        <f>IF(1=1,'Case Filter'!$C$54,0)</f>
        <v/>
      </c>
      <c r="D35" s="7">
        <f>IF(2=1,'Case Filter'!$C$54,0)</f>
        <v/>
      </c>
      <c r="E35" s="7">
        <f>IF(3=1,'Case Filter'!$C$54,0)</f>
        <v/>
      </c>
      <c r="F35" s="7">
        <f>IF(4=1,'Case Filter'!$C$54,0)</f>
        <v/>
      </c>
      <c r="G35" s="7">
        <f>IF(5=1,'Case Filter'!$C$54,0)</f>
        <v/>
      </c>
      <c r="H35" s="7">
        <f>IF(6=1,'Case Filter'!$C$54,0)</f>
        <v/>
      </c>
      <c r="I35" s="7">
        <f>IF(7=1,'Case Filter'!$C$54,0)</f>
        <v/>
      </c>
      <c r="J35" s="7">
        <f>IF(8=1,'Case Filter'!$C$54,0)</f>
        <v/>
      </c>
      <c r="K35" s="7">
        <f>IF(9=1,'Case Filter'!$C$54,0)</f>
        <v/>
      </c>
      <c r="L35" s="7">
        <f>IF(10=1,'Case Filter'!$C$54,0)</f>
        <v/>
      </c>
      <c r="M35" s="7">
        <f>IF(11=1,'Case Filter'!$C$54,0)</f>
        <v/>
      </c>
      <c r="N35" s="7">
        <f>IF(12=1,'Case Filter'!$C$54,0)</f>
        <v/>
      </c>
      <c r="O35" s="7">
        <f>IF(13=1,'Case Filter'!$C$54,0)</f>
        <v/>
      </c>
      <c r="P35" s="7">
        <f>IF(14=1,'Case Filter'!$C$54,0)</f>
        <v/>
      </c>
      <c r="Q35" s="7">
        <f>IF(15=1,'Case Filter'!$C$54,0)</f>
        <v/>
      </c>
      <c r="R35" s="7">
        <f>IF(16=1,'Case Filter'!$C$54,0)</f>
        <v/>
      </c>
      <c r="S35" s="7">
        <f>IF(17=1,'Case Filter'!$C$54,0)</f>
        <v/>
      </c>
      <c r="T35" s="7">
        <f>IF(18=1,'Case Filter'!$C$54,0)</f>
        <v/>
      </c>
      <c r="U35" s="7">
        <f>IF(19=1,'Case Filter'!$C$54,0)</f>
        <v/>
      </c>
      <c r="V35" s="7">
        <f>IF(20=1,'Case Filter'!$C$54,0)</f>
        <v/>
      </c>
      <c r="W35" s="7">
        <f>IF(21=1,'Case Filter'!$C$54,0)</f>
        <v/>
      </c>
      <c r="X35" s="7">
        <f>IF(22=1,'Case Filter'!$C$54,0)</f>
        <v/>
      </c>
      <c r="Y35" s="7">
        <f>IF(23=1,'Case Filter'!$C$54,0)</f>
        <v/>
      </c>
      <c r="Z35" s="7">
        <f>IF(24=1,'Case Filter'!$C$54,0)</f>
        <v/>
      </c>
      <c r="AA35" s="7">
        <f>IF(25=1,'Case Filter'!$C$54,0)</f>
        <v/>
      </c>
      <c r="AB35" s="7">
        <f>IF(26=1,'Case Filter'!$C$54,0)</f>
        <v/>
      </c>
      <c r="AC35" s="7">
        <f>IF(27=1,'Case Filter'!$C$54,0)</f>
        <v/>
      </c>
      <c r="AD35" s="7">
        <f>IF(28=1,'Case Filter'!$C$54,0)</f>
        <v/>
      </c>
      <c r="AE35" s="7">
        <f>IF(29=1,'Case Filter'!$C$54,0)</f>
        <v/>
      </c>
      <c r="AF35" s="7">
        <f>IF(30=1,'Case Filter'!$C$54,0)</f>
        <v/>
      </c>
      <c r="AG35" s="7">
        <f>IF(31=1,'Case Filter'!$C$54,0)</f>
        <v/>
      </c>
      <c r="AH35" s="7">
        <f>IF(32=1,'Case Filter'!$C$54,0)</f>
        <v/>
      </c>
      <c r="AI35" s="7">
        <f>IF(33=1,'Case Filter'!$C$54,0)</f>
        <v/>
      </c>
      <c r="AJ35" s="7">
        <f>IF(34=1,'Case Filter'!$C$54,0)</f>
        <v/>
      </c>
      <c r="AK35" s="7">
        <f>IF(35=1,'Case Filter'!$C$54,0)</f>
        <v/>
      </c>
      <c r="AL35" s="7">
        <f>IF(36=1,'Case Filter'!$C$54,0)</f>
        <v/>
      </c>
    </row>
    <row r="36">
      <c r="B36" t="inlineStr">
        <is>
          <t>Total operating expenses</t>
        </is>
      </c>
      <c r="C36" s="7">
        <f>SUM(C30:C35)</f>
        <v/>
      </c>
      <c r="D36" s="7">
        <f>SUM(D30:D35)</f>
        <v/>
      </c>
      <c r="E36" s="7">
        <f>SUM(E30:E35)</f>
        <v/>
      </c>
      <c r="F36" s="7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  <c r="M36" s="7">
        <f>SUM(M30:M35)</f>
        <v/>
      </c>
      <c r="N36" s="7">
        <f>SUM(N30:N35)</f>
        <v/>
      </c>
      <c r="O36" s="7">
        <f>SUM(O30:O35)</f>
        <v/>
      </c>
      <c r="P36" s="7">
        <f>SUM(P30:P35)</f>
        <v/>
      </c>
      <c r="Q36" s="7">
        <f>SUM(Q30:Q35)</f>
        <v/>
      </c>
      <c r="R36" s="7">
        <f>SUM(R30:R35)</f>
        <v/>
      </c>
      <c r="S36" s="7">
        <f>SUM(S30:S35)</f>
        <v/>
      </c>
      <c r="T36" s="7">
        <f>SUM(T30:T35)</f>
        <v/>
      </c>
      <c r="U36" s="7">
        <f>SUM(U30:U35)</f>
        <v/>
      </c>
      <c r="V36" s="7">
        <f>SUM(V30:V35)</f>
        <v/>
      </c>
      <c r="W36" s="7">
        <f>SUM(W30:W35)</f>
        <v/>
      </c>
      <c r="X36" s="7">
        <f>SUM(X30:X35)</f>
        <v/>
      </c>
      <c r="Y36" s="7">
        <f>SUM(Y30:Y35)</f>
        <v/>
      </c>
      <c r="Z36" s="7">
        <f>SUM(Z30:Z35)</f>
        <v/>
      </c>
      <c r="AA36" s="7">
        <f>SUM(AA30:AA35)</f>
        <v/>
      </c>
      <c r="AB36" s="7">
        <f>SUM(AB30:AB35)</f>
        <v/>
      </c>
      <c r="AC36" s="7">
        <f>SUM(AC30:AC35)</f>
        <v/>
      </c>
      <c r="AD36" s="7">
        <f>SUM(AD30:AD35)</f>
        <v/>
      </c>
      <c r="AE36" s="7">
        <f>SUM(AE30:AE35)</f>
        <v/>
      </c>
      <c r="AF36" s="7">
        <f>SUM(AF30:AF35)</f>
        <v/>
      </c>
      <c r="AG36" s="7">
        <f>SUM(AG30:AG35)</f>
        <v/>
      </c>
      <c r="AH36" s="7">
        <f>SUM(AH30:AH35)</f>
        <v/>
      </c>
      <c r="AI36" s="7">
        <f>SUM(AI30:AI35)</f>
        <v/>
      </c>
      <c r="AJ36" s="7">
        <f>SUM(AJ30:AJ35)</f>
        <v/>
      </c>
      <c r="AK36" s="7">
        <f>SUM(AK30:AK35)</f>
        <v/>
      </c>
      <c r="AL36" s="7">
        <f>SUM(AL30:AL35)</f>
        <v/>
      </c>
    </row>
    <row r="38">
      <c r="B38" t="inlineStr">
        <is>
          <t>EBITDA</t>
        </is>
      </c>
      <c r="C38" s="7">
        <f>C26-C36</f>
        <v/>
      </c>
      <c r="D38" s="7">
        <f>D26-D36</f>
        <v/>
      </c>
      <c r="E38" s="7">
        <f>E26-E36</f>
        <v/>
      </c>
      <c r="F38" s="7">
        <f>F26-F36</f>
        <v/>
      </c>
      <c r="G38" s="7">
        <f>G26-G36</f>
        <v/>
      </c>
      <c r="H38" s="7">
        <f>H26-H36</f>
        <v/>
      </c>
      <c r="I38" s="7">
        <f>I26-I36</f>
        <v/>
      </c>
      <c r="J38" s="7">
        <f>J26-J36</f>
        <v/>
      </c>
      <c r="K38" s="7">
        <f>K26-K36</f>
        <v/>
      </c>
      <c r="L38" s="7">
        <f>L26-L36</f>
        <v/>
      </c>
      <c r="M38" s="7">
        <f>M26-M36</f>
        <v/>
      </c>
      <c r="N38" s="7">
        <f>N26-N36</f>
        <v/>
      </c>
      <c r="O38" s="7">
        <f>O26-O36</f>
        <v/>
      </c>
      <c r="P38" s="7">
        <f>P26-P36</f>
        <v/>
      </c>
      <c r="Q38" s="7">
        <f>Q26-Q36</f>
        <v/>
      </c>
      <c r="R38" s="7">
        <f>R26-R36</f>
        <v/>
      </c>
      <c r="S38" s="7">
        <f>S26-S36</f>
        <v/>
      </c>
      <c r="T38" s="7">
        <f>T26-T36</f>
        <v/>
      </c>
      <c r="U38" s="7">
        <f>U26-U36</f>
        <v/>
      </c>
      <c r="V38" s="7">
        <f>V26-V36</f>
        <v/>
      </c>
      <c r="W38" s="7">
        <f>W26-W36</f>
        <v/>
      </c>
      <c r="X38" s="7">
        <f>X26-X36</f>
        <v/>
      </c>
      <c r="Y38" s="7">
        <f>Y26-Y36</f>
        <v/>
      </c>
      <c r="Z38" s="7">
        <f>Z26-Z36</f>
        <v/>
      </c>
      <c r="AA38" s="7">
        <f>AA26-AA36</f>
        <v/>
      </c>
      <c r="AB38" s="7">
        <f>AB26-AB36</f>
        <v/>
      </c>
      <c r="AC38" s="7">
        <f>AC26-AC36</f>
        <v/>
      </c>
      <c r="AD38" s="7">
        <f>AD26-AD36</f>
        <v/>
      </c>
      <c r="AE38" s="7">
        <f>AE26-AE36</f>
        <v/>
      </c>
      <c r="AF38" s="7">
        <f>AF26-AF36</f>
        <v/>
      </c>
      <c r="AG38" s="7">
        <f>AG26-AG36</f>
        <v/>
      </c>
      <c r="AH38" s="7">
        <f>AH26-AH36</f>
        <v/>
      </c>
      <c r="AI38" s="7">
        <f>AI26-AI36</f>
        <v/>
      </c>
      <c r="AJ38" s="7">
        <f>AJ26-AJ36</f>
        <v/>
      </c>
      <c r="AK38" s="7">
        <f>AK26-AK36</f>
        <v/>
      </c>
      <c r="AL38" s="7">
        <f>AL26-AL36</f>
        <v/>
      </c>
    </row>
    <row r="39">
      <c r="B39" t="inlineStr">
        <is>
          <t>Capital expenditures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</row>
    <row r="40">
      <c r="B40" t="inlineStr">
        <is>
          <t>Free cash flow</t>
        </is>
      </c>
      <c r="C40" s="7">
        <f>C38-C39</f>
        <v/>
      </c>
      <c r="D40" s="7">
        <f>D38-D39</f>
        <v/>
      </c>
      <c r="E40" s="7">
        <f>E38-E39</f>
        <v/>
      </c>
      <c r="F40" s="7">
        <f>F38-F39</f>
        <v/>
      </c>
      <c r="G40" s="7">
        <f>G38-G39</f>
        <v/>
      </c>
      <c r="H40" s="7">
        <f>H38-H39</f>
        <v/>
      </c>
      <c r="I40" s="7">
        <f>I38-I39</f>
        <v/>
      </c>
      <c r="J40" s="7">
        <f>J38-J39</f>
        <v/>
      </c>
      <c r="K40" s="7">
        <f>K38-K39</f>
        <v/>
      </c>
      <c r="L40" s="7">
        <f>L38-L39</f>
        <v/>
      </c>
      <c r="M40" s="7">
        <f>M38-M39</f>
        <v/>
      </c>
      <c r="N40" s="7">
        <f>N38-N39</f>
        <v/>
      </c>
      <c r="O40" s="7">
        <f>O38-O39</f>
        <v/>
      </c>
      <c r="P40" s="7">
        <f>P38-P39</f>
        <v/>
      </c>
      <c r="Q40" s="7">
        <f>Q38-Q39</f>
        <v/>
      </c>
      <c r="R40" s="7">
        <f>R38-R39</f>
        <v/>
      </c>
      <c r="S40" s="7">
        <f>S38-S39</f>
        <v/>
      </c>
      <c r="T40" s="7">
        <f>T38-T39</f>
        <v/>
      </c>
      <c r="U40" s="7">
        <f>U38-U39</f>
        <v/>
      </c>
      <c r="V40" s="7">
        <f>V38-V39</f>
        <v/>
      </c>
      <c r="W40" s="7">
        <f>W38-W39</f>
        <v/>
      </c>
      <c r="X40" s="7">
        <f>X38-X39</f>
        <v/>
      </c>
      <c r="Y40" s="7">
        <f>Y38-Y39</f>
        <v/>
      </c>
      <c r="Z40" s="7">
        <f>Z38-Z39</f>
        <v/>
      </c>
      <c r="AA40" s="7">
        <f>AA38-AA39</f>
        <v/>
      </c>
      <c r="AB40" s="7">
        <f>AB38-AB39</f>
        <v/>
      </c>
      <c r="AC40" s="7">
        <f>AC38-AC39</f>
        <v/>
      </c>
      <c r="AD40" s="7">
        <f>AD38-AD39</f>
        <v/>
      </c>
      <c r="AE40" s="7">
        <f>AE38-AE39</f>
        <v/>
      </c>
      <c r="AF40" s="7">
        <f>AF38-AF39</f>
        <v/>
      </c>
      <c r="AG40" s="7">
        <f>AG38-AG39</f>
        <v/>
      </c>
      <c r="AH40" s="7">
        <f>AH38-AH39</f>
        <v/>
      </c>
      <c r="AI40" s="7">
        <f>AI38-AI39</f>
        <v/>
      </c>
      <c r="AJ40" s="7">
        <f>AJ38-AJ39</f>
        <v/>
      </c>
      <c r="AK40" s="7">
        <f>AK38-AK39</f>
        <v/>
      </c>
      <c r="AL40" s="7">
        <f>AL38-AL39</f>
        <v/>
      </c>
    </row>
    <row r="42">
      <c r="B42" s="8" t="inlineStr">
        <is>
          <t>Cash &amp; Funding</t>
        </is>
      </c>
    </row>
    <row r="43">
      <c r="B43" t="inlineStr">
        <is>
          <t>Funding in</t>
        </is>
      </c>
      <c r="C43" s="7">
        <f>IF(1=1,'Case Filter'!$C$53,0)</f>
        <v/>
      </c>
      <c r="D43" s="7">
        <f>IF(2=1,'Case Filter'!$C$53,0)</f>
        <v/>
      </c>
      <c r="E43" s="7">
        <f>IF(3=1,'Case Filter'!$C$53,0)</f>
        <v/>
      </c>
      <c r="F43" s="7">
        <f>IF(4=1,'Case Filter'!$C$53,0)</f>
        <v/>
      </c>
      <c r="G43" s="7">
        <f>IF(5=1,'Case Filter'!$C$53,0)</f>
        <v/>
      </c>
      <c r="H43" s="7">
        <f>IF(6=1,'Case Filter'!$C$53,0)</f>
        <v/>
      </c>
      <c r="I43" s="7">
        <f>IF(7=1,'Case Filter'!$C$53,0)</f>
        <v/>
      </c>
      <c r="J43" s="7">
        <f>IF(8=1,'Case Filter'!$C$53,0)</f>
        <v/>
      </c>
      <c r="K43" s="7">
        <f>IF(9=1,'Case Filter'!$C$53,0)</f>
        <v/>
      </c>
      <c r="L43" s="7">
        <f>IF(10=1,'Case Filter'!$C$53,0)</f>
        <v/>
      </c>
      <c r="M43" s="7">
        <f>IF(11=1,'Case Filter'!$C$53,0)</f>
        <v/>
      </c>
      <c r="N43" s="7">
        <f>IF(12=1,'Case Filter'!$C$53,0)</f>
        <v/>
      </c>
      <c r="O43" s="7">
        <f>IF(13=1,'Case Filter'!$C$53,0)</f>
        <v/>
      </c>
      <c r="P43" s="7">
        <f>IF(14=1,'Case Filter'!$C$53,0)</f>
        <v/>
      </c>
      <c r="Q43" s="7">
        <f>IF(15=1,'Case Filter'!$C$53,0)</f>
        <v/>
      </c>
      <c r="R43" s="7">
        <f>IF(16=1,'Case Filter'!$C$53,0)</f>
        <v/>
      </c>
      <c r="S43" s="7">
        <f>IF(17=1,'Case Filter'!$C$53,0)</f>
        <v/>
      </c>
      <c r="T43" s="7">
        <f>IF(18=1,'Case Filter'!$C$53,0)</f>
        <v/>
      </c>
      <c r="U43" s="7">
        <f>IF(19=1,'Case Filter'!$C$53,0)</f>
        <v/>
      </c>
      <c r="V43" s="7">
        <f>IF(20=1,'Case Filter'!$C$53,0)</f>
        <v/>
      </c>
      <c r="W43" s="7">
        <f>IF(21=1,'Case Filter'!$C$53,0)</f>
        <v/>
      </c>
      <c r="X43" s="7">
        <f>IF(22=1,'Case Filter'!$C$53,0)</f>
        <v/>
      </c>
      <c r="Y43" s="7">
        <f>IF(23=1,'Case Filter'!$C$53,0)</f>
        <v/>
      </c>
      <c r="Z43" s="7">
        <f>IF(24=1,'Case Filter'!$C$53,0)</f>
        <v/>
      </c>
      <c r="AA43" s="7">
        <f>IF(25=1,'Case Filter'!$C$53,0)</f>
        <v/>
      </c>
      <c r="AB43" s="7">
        <f>IF(26=1,'Case Filter'!$C$53,0)</f>
        <v/>
      </c>
      <c r="AC43" s="7">
        <f>IF(27=1,'Case Filter'!$C$53,0)</f>
        <v/>
      </c>
      <c r="AD43" s="7">
        <f>IF(28=1,'Case Filter'!$C$53,0)</f>
        <v/>
      </c>
      <c r="AE43" s="7">
        <f>IF(29=1,'Case Filter'!$C$53,0)</f>
        <v/>
      </c>
      <c r="AF43" s="7">
        <f>IF(30=1,'Case Filter'!$C$53,0)</f>
        <v/>
      </c>
      <c r="AG43" s="7">
        <f>IF(31=1,'Case Filter'!$C$53,0)</f>
        <v/>
      </c>
      <c r="AH43" s="7">
        <f>IF(32=1,'Case Filter'!$C$53,0)</f>
        <v/>
      </c>
      <c r="AI43" s="7">
        <f>IF(33=1,'Case Filter'!$C$53,0)</f>
        <v/>
      </c>
      <c r="AJ43" s="7">
        <f>IF(34=1,'Case Filter'!$C$53,0)</f>
        <v/>
      </c>
      <c r="AK43" s="7">
        <f>IF(35=1,'Case Filter'!$C$53,0)</f>
        <v/>
      </c>
      <c r="AL43" s="7">
        <f>IF(36=1,'Case Filter'!$C$53,0)</f>
        <v/>
      </c>
    </row>
    <row r="44">
      <c r="B44" t="inlineStr">
        <is>
          <t>Beginning cash</t>
        </is>
      </c>
      <c r="C44" s="7" t="n">
        <v>0</v>
      </c>
      <c r="D44" s="7">
        <f>C45</f>
        <v/>
      </c>
      <c r="E44" s="7">
        <f>D45</f>
        <v/>
      </c>
      <c r="F44" s="7">
        <f>E45</f>
        <v/>
      </c>
      <c r="G44" s="7">
        <f>F45</f>
        <v/>
      </c>
      <c r="H44" s="7">
        <f>G45</f>
        <v/>
      </c>
      <c r="I44" s="7">
        <f>H45</f>
        <v/>
      </c>
      <c r="J44" s="7">
        <f>I45</f>
        <v/>
      </c>
      <c r="K44" s="7">
        <f>J45</f>
        <v/>
      </c>
      <c r="L44" s="7">
        <f>K45</f>
        <v/>
      </c>
      <c r="M44" s="7">
        <f>L45</f>
        <v/>
      </c>
      <c r="N44" s="7">
        <f>M45</f>
        <v/>
      </c>
      <c r="O44" s="7">
        <f>N45</f>
        <v/>
      </c>
      <c r="P44" s="7">
        <f>O45</f>
        <v/>
      </c>
      <c r="Q44" s="7">
        <f>P45</f>
        <v/>
      </c>
      <c r="R44" s="7">
        <f>Q45</f>
        <v/>
      </c>
      <c r="S44" s="7">
        <f>R45</f>
        <v/>
      </c>
      <c r="T44" s="7">
        <f>S45</f>
        <v/>
      </c>
      <c r="U44" s="7">
        <f>T45</f>
        <v/>
      </c>
      <c r="V44" s="7">
        <f>U45</f>
        <v/>
      </c>
      <c r="W44" s="7">
        <f>V45</f>
        <v/>
      </c>
      <c r="X44" s="7">
        <f>W45</f>
        <v/>
      </c>
      <c r="Y44" s="7">
        <f>X45</f>
        <v/>
      </c>
      <c r="Z44" s="7">
        <f>Y45</f>
        <v/>
      </c>
      <c r="AA44" s="7">
        <f>Z45</f>
        <v/>
      </c>
      <c r="AB44" s="7">
        <f>AA45</f>
        <v/>
      </c>
      <c r="AC44" s="7">
        <f>AB45</f>
        <v/>
      </c>
      <c r="AD44" s="7">
        <f>AC45</f>
        <v/>
      </c>
      <c r="AE44" s="7">
        <f>AD45</f>
        <v/>
      </c>
      <c r="AF44" s="7">
        <f>AE45</f>
        <v/>
      </c>
      <c r="AG44" s="7">
        <f>AF45</f>
        <v/>
      </c>
      <c r="AH44" s="7">
        <f>AG45</f>
        <v/>
      </c>
      <c r="AI44" s="7">
        <f>AH45</f>
        <v/>
      </c>
      <c r="AJ44" s="7">
        <f>AI45</f>
        <v/>
      </c>
      <c r="AK44" s="7">
        <f>AJ45</f>
        <v/>
      </c>
      <c r="AL44" s="7">
        <f>AK45</f>
        <v/>
      </c>
    </row>
    <row r="45">
      <c r="B45" t="inlineStr">
        <is>
          <t>Ending cash</t>
        </is>
      </c>
      <c r="C45" s="7">
        <f>C44+C43+C40</f>
        <v/>
      </c>
      <c r="D45" s="7">
        <f>D44+D43+D40</f>
        <v/>
      </c>
      <c r="E45" s="7">
        <f>E44+E43+E40</f>
        <v/>
      </c>
      <c r="F45" s="7">
        <f>F44+F43+F40</f>
        <v/>
      </c>
      <c r="G45" s="7">
        <f>G44+G43+G40</f>
        <v/>
      </c>
      <c r="H45" s="7">
        <f>H44+H43+H40</f>
        <v/>
      </c>
      <c r="I45" s="7">
        <f>I44+I43+I40</f>
        <v/>
      </c>
      <c r="J45" s="7">
        <f>J44+J43+J40</f>
        <v/>
      </c>
      <c r="K45" s="7">
        <f>K44+K43+K40</f>
        <v/>
      </c>
      <c r="L45" s="7">
        <f>L44+L43+L40</f>
        <v/>
      </c>
      <c r="M45" s="7">
        <f>M44+M43+M40</f>
        <v/>
      </c>
      <c r="N45" s="7">
        <f>N44+N43+N40</f>
        <v/>
      </c>
      <c r="O45" s="7">
        <f>O44+O43+O40</f>
        <v/>
      </c>
      <c r="P45" s="7">
        <f>P44+P43+P40</f>
        <v/>
      </c>
      <c r="Q45" s="7">
        <f>Q44+Q43+Q40</f>
        <v/>
      </c>
      <c r="R45" s="7">
        <f>R44+R43+R40</f>
        <v/>
      </c>
      <c r="S45" s="7">
        <f>S44+S43+S40</f>
        <v/>
      </c>
      <c r="T45" s="7">
        <f>T44+T43+T40</f>
        <v/>
      </c>
      <c r="U45" s="7">
        <f>U44+U43+U40</f>
        <v/>
      </c>
      <c r="V45" s="7">
        <f>V44+V43+V40</f>
        <v/>
      </c>
      <c r="W45" s="7">
        <f>W44+W43+W40</f>
        <v/>
      </c>
      <c r="X45" s="7">
        <f>X44+X43+X40</f>
        <v/>
      </c>
      <c r="Y45" s="7">
        <f>Y44+Y43+Y40</f>
        <v/>
      </c>
      <c r="Z45" s="7">
        <f>Z44+Z43+Z40</f>
        <v/>
      </c>
      <c r="AA45" s="7">
        <f>AA44+AA43+AA40</f>
        <v/>
      </c>
      <c r="AB45" s="7">
        <f>AB44+AB43+AB40</f>
        <v/>
      </c>
      <c r="AC45" s="7">
        <f>AC44+AC43+AC40</f>
        <v/>
      </c>
      <c r="AD45" s="7">
        <f>AD44+AD43+AD40</f>
        <v/>
      </c>
      <c r="AE45" s="7">
        <f>AE44+AE43+AE40</f>
        <v/>
      </c>
      <c r="AF45" s="7">
        <f>AF44+AF43+AF40</f>
        <v/>
      </c>
      <c r="AG45" s="7">
        <f>AG44+AG43+AG40</f>
        <v/>
      </c>
      <c r="AH45" s="7">
        <f>AH44+AH43+AH40</f>
        <v/>
      </c>
      <c r="AI45" s="7">
        <f>AI44+AI43+AI40</f>
        <v/>
      </c>
      <c r="AJ45" s="7">
        <f>AJ44+AJ43+AJ40</f>
        <v/>
      </c>
      <c r="AK45" s="7">
        <f>AK44+AK43+AK40</f>
        <v/>
      </c>
      <c r="AL45" s="7">
        <f>AL44+AL43+AL40</f>
        <v/>
      </c>
    </row>
    <row r="46">
      <c r="B46" t="inlineStr">
        <is>
          <t>Runway (months if burning)</t>
        </is>
      </c>
      <c r="C46">
        <f>IF(C40&gt;=0,"Profitable",IF(C45&lt;=0,0,C45/ABS(C40)))</f>
        <v/>
      </c>
      <c r="D46">
        <f>IF(D40&gt;=0,"Profitable",IF(D45&lt;=0,0,D45/ABS(D40)))</f>
        <v/>
      </c>
      <c r="E46">
        <f>IF(E40&gt;=0,"Profitable",IF(E45&lt;=0,0,E45/ABS(E40)))</f>
        <v/>
      </c>
      <c r="F46">
        <f>IF(F40&gt;=0,"Profitable",IF(F45&lt;=0,0,F45/ABS(F40)))</f>
        <v/>
      </c>
      <c r="G46">
        <f>IF(G40&gt;=0,"Profitable",IF(G45&lt;=0,0,G45/ABS(G40)))</f>
        <v/>
      </c>
      <c r="H46">
        <f>IF(H40&gt;=0,"Profitable",IF(H45&lt;=0,0,H45/ABS(H40)))</f>
        <v/>
      </c>
      <c r="I46">
        <f>IF(I40&gt;=0,"Profitable",IF(I45&lt;=0,0,I45/ABS(I40)))</f>
        <v/>
      </c>
      <c r="J46">
        <f>IF(J40&gt;=0,"Profitable",IF(J45&lt;=0,0,J45/ABS(J40)))</f>
        <v/>
      </c>
      <c r="K46">
        <f>IF(K40&gt;=0,"Profitable",IF(K45&lt;=0,0,K45/ABS(K40)))</f>
        <v/>
      </c>
      <c r="L46">
        <f>IF(L40&gt;=0,"Profitable",IF(L45&lt;=0,0,L45/ABS(L40)))</f>
        <v/>
      </c>
      <c r="M46">
        <f>IF(M40&gt;=0,"Profitable",IF(M45&lt;=0,0,M45/ABS(M40)))</f>
        <v/>
      </c>
      <c r="N46">
        <f>IF(N40&gt;=0,"Profitable",IF(N45&lt;=0,0,N45/ABS(N40)))</f>
        <v/>
      </c>
      <c r="O46">
        <f>IF(O40&gt;=0,"Profitable",IF(O45&lt;=0,0,O45/ABS(O40)))</f>
        <v/>
      </c>
      <c r="P46">
        <f>IF(P40&gt;=0,"Profitable",IF(P45&lt;=0,0,P45/ABS(P40)))</f>
        <v/>
      </c>
      <c r="Q46">
        <f>IF(Q40&gt;=0,"Profitable",IF(Q45&lt;=0,0,Q45/ABS(Q40)))</f>
        <v/>
      </c>
      <c r="R46">
        <f>IF(R40&gt;=0,"Profitable",IF(R45&lt;=0,0,R45/ABS(R40)))</f>
        <v/>
      </c>
      <c r="S46">
        <f>IF(S40&gt;=0,"Profitable",IF(S45&lt;=0,0,S45/ABS(S40)))</f>
        <v/>
      </c>
      <c r="T46">
        <f>IF(T40&gt;=0,"Profitable",IF(T45&lt;=0,0,T45/ABS(T40)))</f>
        <v/>
      </c>
      <c r="U46">
        <f>IF(U40&gt;=0,"Profitable",IF(U45&lt;=0,0,U45/ABS(U40)))</f>
        <v/>
      </c>
      <c r="V46">
        <f>IF(V40&gt;=0,"Profitable",IF(V45&lt;=0,0,V45/ABS(V40)))</f>
        <v/>
      </c>
      <c r="W46">
        <f>IF(W40&gt;=0,"Profitable",IF(W45&lt;=0,0,W45/ABS(W40)))</f>
        <v/>
      </c>
      <c r="X46">
        <f>IF(X40&gt;=0,"Profitable",IF(X45&lt;=0,0,X45/ABS(X40)))</f>
        <v/>
      </c>
      <c r="Y46">
        <f>IF(Y40&gt;=0,"Profitable",IF(Y45&lt;=0,0,Y45/ABS(Y40)))</f>
        <v/>
      </c>
      <c r="Z46">
        <f>IF(Z40&gt;=0,"Profitable",IF(Z45&lt;=0,0,Z45/ABS(Z40)))</f>
        <v/>
      </c>
      <c r="AA46">
        <f>IF(AA40&gt;=0,"Profitable",IF(AA45&lt;=0,0,AA45/ABS(AA40)))</f>
        <v/>
      </c>
      <c r="AB46">
        <f>IF(AB40&gt;=0,"Profitable",IF(AB45&lt;=0,0,AB45/ABS(AB40)))</f>
        <v/>
      </c>
      <c r="AC46">
        <f>IF(AC40&gt;=0,"Profitable",IF(AC45&lt;=0,0,AC45/ABS(AC40)))</f>
        <v/>
      </c>
      <c r="AD46">
        <f>IF(AD40&gt;=0,"Profitable",IF(AD45&lt;=0,0,AD45/ABS(AD40)))</f>
        <v/>
      </c>
      <c r="AE46">
        <f>IF(AE40&gt;=0,"Profitable",IF(AE45&lt;=0,0,AE45/ABS(AE40)))</f>
        <v/>
      </c>
      <c r="AF46">
        <f>IF(AF40&gt;=0,"Profitable",IF(AF45&lt;=0,0,AF45/ABS(AF40)))</f>
        <v/>
      </c>
      <c r="AG46">
        <f>IF(AG40&gt;=0,"Profitable",IF(AG45&lt;=0,0,AG45/ABS(AG40)))</f>
        <v/>
      </c>
      <c r="AH46">
        <f>IF(AH40&gt;=0,"Profitable",IF(AH45&lt;=0,0,AH45/ABS(AH40)))</f>
        <v/>
      </c>
      <c r="AI46">
        <f>IF(AI40&gt;=0,"Profitable",IF(AI45&lt;=0,0,AI45/ABS(AI40)))</f>
        <v/>
      </c>
      <c r="AJ46">
        <f>IF(AJ40&gt;=0,"Profitable",IF(AJ45&lt;=0,0,AJ45/ABS(AJ40)))</f>
        <v/>
      </c>
      <c r="AK46">
        <f>IF(AK40&gt;=0,"Profitable",IF(AK45&lt;=0,0,AK45/ABS(AK40)))</f>
        <v/>
      </c>
      <c r="AL46">
        <f>IF(AL40&gt;=0,"Profitable",IF(AL45&lt;=0,0,AL45/ABS(AL40)))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63"/>
  <sheetViews>
    <sheetView topLeftCell="A35" workbookViewId="0">
      <selection activeCell="A1" sqref="A1"/>
    </sheetView>
  </sheetViews>
  <sheetFormatPr baseColWidth="10" defaultColWidth="8.83203125" defaultRowHeight="15"/>
  <cols>
    <col width="90" customWidth="1" min="2" max="2"/>
  </cols>
  <sheetData>
    <row r="2" ht="19" customHeight="1">
      <c r="B2" s="1" t="inlineStr">
        <is>
          <t>Model Assumptions &amp; Notes</t>
        </is>
      </c>
    </row>
    <row r="5">
      <c r="B5" s="10" t="inlineStr">
        <is>
          <t>UNIT ECONOMICS — CALIBRATE FOR YOUR PRODUCT</t>
        </is>
      </c>
    </row>
    <row r="7">
      <c r="B7" t="inlineStr">
        <is>
          <t>Replace Composer / free-tier COGS with your marginal cost per active user.</t>
        </is>
      </c>
    </row>
    <row r="8">
      <c r="B8" t="inlineStr">
        <is>
          <t>At P50 ($0.104/run): Composer COGS alone ≈ $31.20 → total COGS ≈ $33.</t>
        </is>
      </c>
    </row>
    <row r="9">
      <c r="B9" t="inlineStr">
        <is>
          <t>Net revenue after Stripe ≈ $14.26 → loss ≈ $19/user/month.</t>
        </is>
      </c>
    </row>
    <row r="11">
      <c r="B11" t="inlineStr">
        <is>
          <t>Break-even at P50: ~130 runs/mo (~4 runs/day). At P25 (small): ~11 runs/day.</t>
        </is>
      </c>
    </row>
    <row r="12">
      <c r="B12" t="inlineStr">
        <is>
          <t>Code cap today: 20 runs/user/UTC day — 10/day is allowed.</t>
        </is>
      </c>
    </row>
    <row r="14">
      <c r="B14" t="inlineStr">
        <is>
          <t>If even 5% of Pro subs behave this way, blend COGS into Case Filter</t>
        </is>
      </c>
    </row>
    <row r="15">
      <c r="B15" t="inlineStr">
        <is>
          <t>Composer runs / Pro sub / month (e.g. bump from 25 → 40+ for conservative base).</t>
        </is>
      </c>
    </row>
    <row r="16">
      <c r="B16" t="inlineStr">
        <is>
          <t>• Non-composer variable/Pro/mo: $0.70 (Voyage, Postmark, Supabase alloc.)</t>
        </is>
      </c>
    </row>
    <row r="17">
      <c r="B17" t="inlineStr">
        <is>
          <t>• Free user lifetime COGS: $2.80 (5 compositions, ~20 composer runs)</t>
        </is>
      </c>
    </row>
    <row r="18">
      <c r="B18" t="inlineStr">
        <is>
          <t>• Stripe: $0.735/charge (2.9% + $0.30 on $15)</t>
        </is>
      </c>
    </row>
    <row r="20">
      <c r="B20" t="inlineStr">
        <is>
          <t>BASE CASE GROWTH — shape signups with the Growth Curve Editor, then paste export</t>
        </is>
      </c>
    </row>
    <row r="21">
      <c r="B21" t="inlineStr">
        <is>
          <t>• Signups ramp ~80/mo → 1,250/mo over 36 months</t>
        </is>
      </c>
    </row>
    <row r="22">
      <c r="B22" t="inlineStr">
        <is>
          <t>• Free→Pro conversion improves 5% → 12%</t>
        </is>
      </c>
    </row>
    <row r="23">
      <c r="B23" t="inlineStr">
        <is>
          <t>• Pro churn improves 6% → 4%/mo</t>
        </is>
      </c>
    </row>
    <row r="24">
      <c r="B24" t="inlineStr">
        <is>
          <t>• Marketing spend ramps $300 → $2,500/mo</t>
        </is>
      </c>
    </row>
    <row r="26">
      <c r="B26" t="inlineStr">
        <is>
          <t>FUNDING</t>
        </is>
      </c>
    </row>
    <row r="27">
      <c r="B27" t="inlineStr">
        <is>
          <t>• $50,000 initial funding in Month 1 (Case Filter)</t>
        </is>
      </c>
    </row>
    <row r="28">
      <c r="B28" t="inlineStr">
        <is>
          <t>• Founder salary $0 Y1, $3k/mo Y2, $5k/mo Y3 (adjust as needed)</t>
        </is>
      </c>
    </row>
    <row r="30">
      <c r="B30" t="inlineStr">
        <is>
          <t>KEY RISKS NOT FULLY MODELED</t>
        </is>
      </c>
    </row>
    <row r="31">
      <c r="B31" t="inlineStr">
        <is>
          <t>• Power users hitting 20 composer runs/day (600/mo) can exceed $15 COGS</t>
        </is>
      </c>
    </row>
    <row r="32">
      <c r="B32" t="inlineStr">
        <is>
          <t>• claude-proxy (extension Tag References) not logged — tail risk</t>
        </is>
      </c>
    </row>
    <row r="33">
      <c r="B33" t="inlineStr">
        <is>
          <t>• No second funding round modeled — watch minimum cash row on Summary</t>
        </is>
      </c>
    </row>
    <row r="35">
      <c r="B35" t="inlineStr">
        <is>
          <t>CALIBRATION</t>
        </is>
      </c>
    </row>
    <row r="36">
      <c r="B36" t="inlineStr">
        <is>
          <t>• Run queries/export_composer_usage.sql → update Composer COGS/run input</t>
        </is>
      </c>
    </row>
    <row r="37">
      <c r="B37" t="inlineStr">
        <is>
          <t>• Toggle Case Filter C1 for Base / Upside / Downside scenarios</t>
        </is>
      </c>
    </row>
    <row r="60">
      <c r="B60" s="12" t="inlineStr">
        <is>
          <t>Upside-Upside Case (C1=3): 1M users by Month 24</t>
        </is>
      </c>
    </row>
    <row r="61">
      <c r="B61" t="inlineStr">
        <is>
          <t>Signup curve: ~14.5% MoM growth, scaled to exactly 1M cumulative at M24.</t>
        </is>
      </c>
    </row>
    <row r="62">
      <c r="B62" t="inlineStr">
        <is>
          <t>M1 ~5,850 signups → M24 ~132K signups/mo. Requires viral loop or major distribution.</t>
        </is>
      </c>
    </row>
    <row r="63">
      <c r="B63" t="inlineStr">
        <is>
          <t>Compare to: early Notion, Slack freemium breakout — top ~0.1% of startups.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5"/>
  <sheetViews>
    <sheetView topLeftCell="A29" workbookViewId="0">
      <selection activeCell="C2" sqref="C2"/>
    </sheetView>
  </sheetViews>
  <sheetFormatPr baseColWidth="10" defaultColWidth="8.83203125" defaultRowHeight="15"/>
  <cols>
    <col width="48" customWidth="1" min="2" max="2"/>
    <col width="8" customWidth="1" min="3" max="38"/>
  </cols>
  <sheetData>
    <row r="1">
      <c r="B1" t="inlineStr">
        <is>
          <t>CASE TOGGLE</t>
        </is>
      </c>
      <c r="C1" t="n">
        <v>0</v>
      </c>
    </row>
    <row r="2">
      <c r="B2" s="12" t="inlineStr">
        <is>
          <t>C1: 0=Base | 1=Upside | 2=Downside | 3=Upside-Upside (1M users by Y2)</t>
        </is>
      </c>
    </row>
    <row r="4">
      <c r="B4" s="13" t="inlineStr">
        <is>
          <t>($ Actual)</t>
        </is>
      </c>
      <c r="C4" s="14" t="inlineStr">
        <is>
          <t>M1</t>
        </is>
      </c>
      <c r="D4" s="14" t="inlineStr">
        <is>
          <t>M2</t>
        </is>
      </c>
      <c r="E4" s="14" t="inlineStr">
        <is>
          <t>M3</t>
        </is>
      </c>
      <c r="F4" s="14" t="inlineStr">
        <is>
          <t>M4</t>
        </is>
      </c>
      <c r="G4" s="14" t="inlineStr">
        <is>
          <t>M5</t>
        </is>
      </c>
      <c r="H4" s="14" t="inlineStr">
        <is>
          <t>M6</t>
        </is>
      </c>
      <c r="I4" s="14" t="inlineStr">
        <is>
          <t>M7</t>
        </is>
      </c>
      <c r="J4" s="14" t="inlineStr">
        <is>
          <t>M8</t>
        </is>
      </c>
      <c r="K4" s="14" t="inlineStr">
        <is>
          <t>M9</t>
        </is>
      </c>
      <c r="L4" s="14" t="inlineStr">
        <is>
          <t>M10</t>
        </is>
      </c>
      <c r="M4" s="14" t="inlineStr">
        <is>
          <t>M11</t>
        </is>
      </c>
      <c r="N4" s="14" t="inlineStr">
        <is>
          <t>M12</t>
        </is>
      </c>
      <c r="O4" s="14" t="inlineStr">
        <is>
          <t>M13</t>
        </is>
      </c>
      <c r="P4" s="14" t="inlineStr">
        <is>
          <t>M14</t>
        </is>
      </c>
      <c r="Q4" s="14" t="inlineStr">
        <is>
          <t>M15</t>
        </is>
      </c>
      <c r="R4" s="14" t="inlineStr">
        <is>
          <t>M16</t>
        </is>
      </c>
      <c r="S4" s="14" t="inlineStr">
        <is>
          <t>M17</t>
        </is>
      </c>
      <c r="T4" s="14" t="inlineStr">
        <is>
          <t>M18</t>
        </is>
      </c>
      <c r="U4" s="14" t="inlineStr">
        <is>
          <t>M19</t>
        </is>
      </c>
      <c r="V4" s="14" t="inlineStr">
        <is>
          <t>M20</t>
        </is>
      </c>
      <c r="W4" s="14" t="inlineStr">
        <is>
          <t>M21</t>
        </is>
      </c>
      <c r="X4" s="14" t="inlineStr">
        <is>
          <t>M22</t>
        </is>
      </c>
      <c r="Y4" s="14" t="inlineStr">
        <is>
          <t>M23</t>
        </is>
      </c>
      <c r="Z4" s="14" t="inlineStr">
        <is>
          <t>M24</t>
        </is>
      </c>
      <c r="AA4" s="14" t="inlineStr">
        <is>
          <t>M25</t>
        </is>
      </c>
      <c r="AB4" s="14" t="inlineStr">
        <is>
          <t>M26</t>
        </is>
      </c>
      <c r="AC4" s="14" t="inlineStr">
        <is>
          <t>M27</t>
        </is>
      </c>
      <c r="AD4" s="14" t="inlineStr">
        <is>
          <t>M28</t>
        </is>
      </c>
      <c r="AE4" s="14" t="inlineStr">
        <is>
          <t>M29</t>
        </is>
      </c>
      <c r="AF4" s="14" t="inlineStr">
        <is>
          <t>M30</t>
        </is>
      </c>
      <c r="AG4" s="14" t="inlineStr">
        <is>
          <t>M31</t>
        </is>
      </c>
      <c r="AH4" s="14" t="inlineStr">
        <is>
          <t>M32</t>
        </is>
      </c>
      <c r="AI4" s="14" t="inlineStr">
        <is>
          <t>M33</t>
        </is>
      </c>
      <c r="AJ4" s="14" t="inlineStr">
        <is>
          <t>M34</t>
        </is>
      </c>
      <c r="AK4" s="14" t="inlineStr">
        <is>
          <t>M35</t>
        </is>
      </c>
      <c r="AL4" s="14" t="inlineStr">
        <is>
          <t>M36</t>
        </is>
      </c>
    </row>
    <row r="6">
      <c r="B6" s="26" t="inlineStr">
        <is>
          <t>New user signups / month ← USE GROWTH CURVE EDITOR FOR BASE CASE</t>
        </is>
      </c>
    </row>
    <row r="7">
      <c r="B7" s="13" t="inlineStr">
        <is>
          <t>ACTIVE CASE</t>
        </is>
      </c>
      <c r="C7" s="9">
        <f>INDEX(C$8:C$11,$C$1+1)</f>
        <v/>
      </c>
      <c r="D7" s="9">
        <f>INDEX(D$8:D$11,$C$1+1)</f>
        <v/>
      </c>
      <c r="E7" s="9">
        <f>INDEX(E$8:E$11,$C$1+1)</f>
        <v/>
      </c>
      <c r="F7" s="9">
        <f>INDEX(F$8:F$11,$C$1+1)</f>
        <v/>
      </c>
      <c r="G7" s="9">
        <f>INDEX(G$8:G$11,$C$1+1)</f>
        <v/>
      </c>
      <c r="H7" s="9">
        <f>INDEX(H$8:H$11,$C$1+1)</f>
        <v/>
      </c>
      <c r="I7" s="9">
        <f>INDEX(I$8:I$11,$C$1+1)</f>
        <v/>
      </c>
      <c r="J7" s="9">
        <f>INDEX(J$8:J$11,$C$1+1)</f>
        <v/>
      </c>
      <c r="K7" s="9">
        <f>INDEX(K$8:K$11,$C$1+1)</f>
        <v/>
      </c>
      <c r="L7" s="9">
        <f>INDEX(L$8:L$11,$C$1+1)</f>
        <v/>
      </c>
      <c r="M7" s="9">
        <f>INDEX(M$8:M$11,$C$1+1)</f>
        <v/>
      </c>
      <c r="N7" s="9">
        <f>INDEX(N$8:N$11,$C$1+1)</f>
        <v/>
      </c>
      <c r="O7" s="9">
        <f>INDEX(O$8:O$11,$C$1+1)</f>
        <v/>
      </c>
      <c r="P7" s="9">
        <f>INDEX(P$8:P$11,$C$1+1)</f>
        <v/>
      </c>
      <c r="Q7" s="9">
        <f>INDEX(Q$8:Q$11,$C$1+1)</f>
        <v/>
      </c>
      <c r="R7" s="9">
        <f>INDEX(R$8:R$11,$C$1+1)</f>
        <v/>
      </c>
      <c r="S7" s="9">
        <f>INDEX(S$8:S$11,$C$1+1)</f>
        <v/>
      </c>
      <c r="T7" s="9">
        <f>INDEX(T$8:T$11,$C$1+1)</f>
        <v/>
      </c>
      <c r="U7" s="9">
        <f>INDEX(U$8:U$11,$C$1+1)</f>
        <v/>
      </c>
      <c r="V7" s="9">
        <f>INDEX(V$8:V$11,$C$1+1)</f>
        <v/>
      </c>
      <c r="W7" s="9">
        <f>INDEX(W$8:W$11,$C$1+1)</f>
        <v/>
      </c>
      <c r="X7" s="9">
        <f>INDEX(X$8:X$11,$C$1+1)</f>
        <v/>
      </c>
      <c r="Y7" s="9">
        <f>INDEX(Y$8:Y$11,$C$1+1)</f>
        <v/>
      </c>
      <c r="Z7" s="9">
        <f>INDEX(Z$8:Z$11,$C$1+1)</f>
        <v/>
      </c>
      <c r="AA7" s="9">
        <f>INDEX(AA$8:AA$11,$C$1+1)</f>
        <v/>
      </c>
      <c r="AB7" s="9">
        <f>INDEX(AB$8:AB$11,$C$1+1)</f>
        <v/>
      </c>
      <c r="AC7" s="9">
        <f>INDEX(AC$8:AC$11,$C$1+1)</f>
        <v/>
      </c>
      <c r="AD7" s="9">
        <f>INDEX(AD$8:AD$11,$C$1+1)</f>
        <v/>
      </c>
      <c r="AE7" s="9">
        <f>INDEX(AE$8:AE$11,$C$1+1)</f>
        <v/>
      </c>
      <c r="AF7" s="9">
        <f>INDEX(AF$8:AF$11,$C$1+1)</f>
        <v/>
      </c>
      <c r="AG7" s="9">
        <f>INDEX(AG$8:AG$11,$C$1+1)</f>
        <v/>
      </c>
      <c r="AH7" s="9">
        <f>INDEX(AH$8:AH$11,$C$1+1)</f>
        <v/>
      </c>
      <c r="AI7" s="9">
        <f>INDEX(AI$8:AI$11,$C$1+1)</f>
        <v/>
      </c>
      <c r="AJ7" s="9">
        <f>INDEX(AJ$8:AJ$11,$C$1+1)</f>
        <v/>
      </c>
      <c r="AK7" s="9">
        <f>INDEX(AK$8:AK$11,$C$1+1)</f>
        <v/>
      </c>
      <c r="AL7" s="9">
        <f>INDEX(AL$8:AL$11,$C$1+1)</f>
        <v/>
      </c>
    </row>
    <row r="8">
      <c r="A8" t="n">
        <v>1</v>
      </c>
      <c r="B8" t="inlineStr">
        <is>
          <t>Base Case</t>
        </is>
      </c>
      <c r="C8" s="27" t="n">
        <v>10</v>
      </c>
      <c r="D8" s="27" t="n">
        <v>10</v>
      </c>
      <c r="E8" s="27" t="n">
        <v>10</v>
      </c>
      <c r="F8" s="27" t="n">
        <v>10</v>
      </c>
      <c r="G8" s="27" t="n">
        <v>10</v>
      </c>
      <c r="H8" s="27" t="n">
        <v>10</v>
      </c>
      <c r="I8" s="27" t="n">
        <v>10</v>
      </c>
      <c r="J8" s="27" t="n">
        <v>10</v>
      </c>
      <c r="K8" s="27" t="n">
        <v>10</v>
      </c>
      <c r="L8" s="27" t="n">
        <v>10</v>
      </c>
      <c r="M8" s="27" t="n">
        <v>10</v>
      </c>
      <c r="N8" s="27" t="n">
        <v>10</v>
      </c>
      <c r="O8" s="27" t="n">
        <v>10</v>
      </c>
      <c r="P8" s="27" t="n">
        <v>10</v>
      </c>
      <c r="Q8" s="27" t="n">
        <v>10</v>
      </c>
      <c r="R8" s="27" t="n">
        <v>10</v>
      </c>
      <c r="S8" s="27" t="n">
        <v>10</v>
      </c>
      <c r="T8" s="27" t="n">
        <v>10</v>
      </c>
      <c r="U8" s="27" t="n">
        <v>10</v>
      </c>
      <c r="V8" s="27" t="n">
        <v>10</v>
      </c>
      <c r="W8" s="27" t="n">
        <v>10</v>
      </c>
      <c r="X8" s="27" t="n">
        <v>10</v>
      </c>
      <c r="Y8" s="27" t="n">
        <v>10</v>
      </c>
      <c r="Z8" s="27" t="n">
        <v>10</v>
      </c>
      <c r="AA8" s="27" t="n">
        <v>10</v>
      </c>
      <c r="AB8" s="27" t="n">
        <v>10</v>
      </c>
      <c r="AC8" s="27" t="n">
        <v>10</v>
      </c>
      <c r="AD8" s="27" t="n">
        <v>10</v>
      </c>
      <c r="AE8" s="27" t="n">
        <v>10</v>
      </c>
      <c r="AF8" s="27" t="n">
        <v>10</v>
      </c>
      <c r="AG8" s="27" t="n">
        <v>10</v>
      </c>
      <c r="AH8" s="27" t="n">
        <v>10</v>
      </c>
      <c r="AI8" s="27" t="n">
        <v>10</v>
      </c>
      <c r="AJ8" s="27" t="n">
        <v>10</v>
      </c>
      <c r="AK8" s="27" t="n">
        <v>10</v>
      </c>
      <c r="AL8" s="27" t="n">
        <v>10</v>
      </c>
    </row>
    <row r="9">
      <c r="A9" t="n">
        <v>2</v>
      </c>
      <c r="B9" t="inlineStr">
        <is>
          <t>Upside Case</t>
        </is>
      </c>
      <c r="C9" s="15" t="n">
        <v>10</v>
      </c>
      <c r="D9" s="15" t="n">
        <v>10</v>
      </c>
      <c r="E9" s="15" t="n">
        <v>10</v>
      </c>
      <c r="F9" s="15" t="n">
        <v>10</v>
      </c>
      <c r="G9" s="15" t="n">
        <v>10</v>
      </c>
      <c r="H9" s="15" t="n">
        <v>10</v>
      </c>
      <c r="I9" s="15" t="n">
        <v>10</v>
      </c>
      <c r="J9" s="15" t="n">
        <v>10</v>
      </c>
      <c r="K9" s="15" t="n">
        <v>10</v>
      </c>
      <c r="L9" s="15" t="n">
        <v>10</v>
      </c>
      <c r="M9" s="15" t="n">
        <v>10</v>
      </c>
      <c r="N9" s="15" t="n">
        <v>10</v>
      </c>
      <c r="O9" s="15" t="n">
        <v>10</v>
      </c>
      <c r="P9" s="15" t="n">
        <v>10</v>
      </c>
      <c r="Q9" s="15" t="n">
        <v>10</v>
      </c>
      <c r="R9" s="15" t="n">
        <v>10</v>
      </c>
      <c r="S9" s="15" t="n">
        <v>10</v>
      </c>
      <c r="T9" s="15" t="n">
        <v>10</v>
      </c>
      <c r="U9" s="15" t="n">
        <v>10</v>
      </c>
      <c r="V9" s="15" t="n">
        <v>10</v>
      </c>
      <c r="W9" s="15" t="n">
        <v>10</v>
      </c>
      <c r="X9" s="15" t="n">
        <v>10</v>
      </c>
      <c r="Y9" s="15" t="n">
        <v>10</v>
      </c>
      <c r="Z9" s="15" t="n">
        <v>10</v>
      </c>
      <c r="AA9" s="15" t="n">
        <v>10</v>
      </c>
      <c r="AB9" s="15" t="n">
        <v>10</v>
      </c>
      <c r="AC9" s="15" t="n">
        <v>10</v>
      </c>
      <c r="AD9" s="15" t="n">
        <v>10</v>
      </c>
      <c r="AE9" s="15" t="n">
        <v>10</v>
      </c>
      <c r="AF9" s="15" t="n">
        <v>10</v>
      </c>
      <c r="AG9" s="15" t="n">
        <v>10</v>
      </c>
      <c r="AH9" s="15" t="n">
        <v>10</v>
      </c>
      <c r="AI9" s="15" t="n">
        <v>10</v>
      </c>
      <c r="AJ9" s="15" t="n">
        <v>10</v>
      </c>
      <c r="AK9" s="15" t="n">
        <v>10</v>
      </c>
      <c r="AL9" s="15" t="n">
        <v>10</v>
      </c>
    </row>
    <row r="10">
      <c r="A10" t="n">
        <v>3</v>
      </c>
      <c r="B10" t="inlineStr">
        <is>
          <t>Downside Case</t>
        </is>
      </c>
      <c r="C10" s="15" t="n">
        <v>10</v>
      </c>
      <c r="D10" s="15" t="n">
        <v>10</v>
      </c>
      <c r="E10" s="15" t="n">
        <v>10</v>
      </c>
      <c r="F10" s="15" t="n">
        <v>10</v>
      </c>
      <c r="G10" s="15" t="n">
        <v>10</v>
      </c>
      <c r="H10" s="15" t="n">
        <v>10</v>
      </c>
      <c r="I10" s="15" t="n">
        <v>10</v>
      </c>
      <c r="J10" s="15" t="n">
        <v>10</v>
      </c>
      <c r="K10" s="15" t="n">
        <v>10</v>
      </c>
      <c r="L10" s="15" t="n">
        <v>10</v>
      </c>
      <c r="M10" s="15" t="n">
        <v>10</v>
      </c>
      <c r="N10" s="15" t="n">
        <v>10</v>
      </c>
      <c r="O10" s="15" t="n">
        <v>10</v>
      </c>
      <c r="P10" s="15" t="n">
        <v>10</v>
      </c>
      <c r="Q10" s="15" t="n">
        <v>10</v>
      </c>
      <c r="R10" s="15" t="n">
        <v>10</v>
      </c>
      <c r="S10" s="15" t="n">
        <v>10</v>
      </c>
      <c r="T10" s="15" t="n">
        <v>10</v>
      </c>
      <c r="U10" s="15" t="n">
        <v>10</v>
      </c>
      <c r="V10" s="15" t="n">
        <v>10</v>
      </c>
      <c r="W10" s="15" t="n">
        <v>10</v>
      </c>
      <c r="X10" s="15" t="n">
        <v>10</v>
      </c>
      <c r="Y10" s="15" t="n">
        <v>10</v>
      </c>
      <c r="Z10" s="15" t="n">
        <v>10</v>
      </c>
      <c r="AA10" s="15" t="n">
        <v>10</v>
      </c>
      <c r="AB10" s="15" t="n">
        <v>10</v>
      </c>
      <c r="AC10" s="15" t="n">
        <v>10</v>
      </c>
      <c r="AD10" s="15" t="n">
        <v>10</v>
      </c>
      <c r="AE10" s="15" t="n">
        <v>10</v>
      </c>
      <c r="AF10" s="15" t="n">
        <v>10</v>
      </c>
      <c r="AG10" s="15" t="n">
        <v>10</v>
      </c>
      <c r="AH10" s="15" t="n">
        <v>10</v>
      </c>
      <c r="AI10" s="15" t="n">
        <v>10</v>
      </c>
      <c r="AJ10" s="15" t="n">
        <v>10</v>
      </c>
      <c r="AK10" s="15" t="n">
        <v>10</v>
      </c>
      <c r="AL10" s="15" t="n">
        <v>10</v>
      </c>
    </row>
    <row r="11">
      <c r="A11" t="n">
        <v>4</v>
      </c>
      <c r="B11" t="inlineStr">
        <is>
          <t>Upside-Upside Case</t>
        </is>
      </c>
      <c r="C11" s="16" t="n">
        <v>10</v>
      </c>
      <c r="D11" s="16" t="n">
        <v>10</v>
      </c>
      <c r="E11" s="16" t="n">
        <v>10</v>
      </c>
      <c r="F11" s="16" t="n">
        <v>10</v>
      </c>
      <c r="G11" s="16" t="n">
        <v>10</v>
      </c>
      <c r="H11" s="16" t="n">
        <v>10</v>
      </c>
      <c r="I11" s="16" t="n">
        <v>10</v>
      </c>
      <c r="J11" s="16" t="n">
        <v>10</v>
      </c>
      <c r="K11" s="16" t="n">
        <v>10</v>
      </c>
      <c r="L11" s="16" t="n">
        <v>10</v>
      </c>
      <c r="M11" s="16" t="n">
        <v>10</v>
      </c>
      <c r="N11" s="16" t="n">
        <v>10</v>
      </c>
      <c r="O11" s="16" t="n">
        <v>10</v>
      </c>
      <c r="P11" s="16" t="n">
        <v>10</v>
      </c>
      <c r="Q11" s="16" t="n">
        <v>10</v>
      </c>
      <c r="R11" s="16" t="n">
        <v>10</v>
      </c>
      <c r="S11" s="16" t="n">
        <v>10</v>
      </c>
      <c r="T11" s="16" t="n">
        <v>10</v>
      </c>
      <c r="U11" s="16" t="n">
        <v>10</v>
      </c>
      <c r="V11" s="16" t="n">
        <v>10</v>
      </c>
      <c r="W11" s="16" t="n">
        <v>10</v>
      </c>
      <c r="X11" s="16" t="n">
        <v>10</v>
      </c>
      <c r="Y11" s="16" t="n">
        <v>10</v>
      </c>
      <c r="Z11" s="16" t="n">
        <v>10</v>
      </c>
      <c r="AA11" s="16" t="n">
        <v>10</v>
      </c>
      <c r="AB11" s="16" t="n">
        <v>10</v>
      </c>
      <c r="AC11" s="16" t="n">
        <v>10</v>
      </c>
      <c r="AD11" s="16" t="n">
        <v>10</v>
      </c>
      <c r="AE11" s="16" t="n">
        <v>10</v>
      </c>
      <c r="AF11" s="16" t="n">
        <v>10</v>
      </c>
      <c r="AG11" s="16" t="n">
        <v>10</v>
      </c>
      <c r="AH11" s="16" t="n">
        <v>10</v>
      </c>
      <c r="AI11" s="16" t="n">
        <v>10</v>
      </c>
      <c r="AJ11" s="16" t="n">
        <v>10</v>
      </c>
      <c r="AK11" s="16" t="n">
        <v>10</v>
      </c>
      <c r="AL11" s="16" t="n">
        <v>10</v>
      </c>
    </row>
    <row r="13">
      <c r="B13" s="13" t="inlineStr">
        <is>
          <t>Free → Pro conversion rate (new signups, same month)</t>
        </is>
      </c>
    </row>
    <row r="14">
      <c r="B14" s="13" t="inlineStr">
        <is>
          <t>ACTIVE CASE</t>
        </is>
      </c>
      <c r="C14" s="6">
        <f>INDEX(C$15:C$18,$C$1+1)</f>
        <v/>
      </c>
      <c r="D14" s="6">
        <f>INDEX(D$15:D$18,$C$1+1)</f>
        <v/>
      </c>
      <c r="E14" s="6">
        <f>INDEX(E$15:E$18,$C$1+1)</f>
        <v/>
      </c>
      <c r="F14" s="6">
        <f>INDEX(F$15:F$18,$C$1+1)</f>
        <v/>
      </c>
      <c r="G14" s="6">
        <f>INDEX(G$15:G$18,$C$1+1)</f>
        <v/>
      </c>
      <c r="H14" s="6">
        <f>INDEX(H$15:H$18,$C$1+1)</f>
        <v/>
      </c>
      <c r="I14" s="6">
        <f>INDEX(I$15:I$18,$C$1+1)</f>
        <v/>
      </c>
      <c r="J14" s="6">
        <f>INDEX(J$15:J$18,$C$1+1)</f>
        <v/>
      </c>
      <c r="K14" s="6">
        <f>INDEX(K$15:K$18,$C$1+1)</f>
        <v/>
      </c>
      <c r="L14" s="6">
        <f>INDEX(L$15:L$18,$C$1+1)</f>
        <v/>
      </c>
      <c r="M14" s="6">
        <f>INDEX(M$15:M$18,$C$1+1)</f>
        <v/>
      </c>
      <c r="N14" s="6">
        <f>INDEX(N$15:N$18,$C$1+1)</f>
        <v/>
      </c>
      <c r="O14" s="6">
        <f>INDEX(O$15:O$18,$C$1+1)</f>
        <v/>
      </c>
      <c r="P14" s="6">
        <f>INDEX(P$15:P$18,$C$1+1)</f>
        <v/>
      </c>
      <c r="Q14" s="6">
        <f>INDEX(Q$15:Q$18,$C$1+1)</f>
        <v/>
      </c>
      <c r="R14" s="6">
        <f>INDEX(R$15:R$18,$C$1+1)</f>
        <v/>
      </c>
      <c r="S14" s="6">
        <f>INDEX(S$15:S$18,$C$1+1)</f>
        <v/>
      </c>
      <c r="T14" s="6">
        <f>INDEX(T$15:T$18,$C$1+1)</f>
        <v/>
      </c>
      <c r="U14" s="6">
        <f>INDEX(U$15:U$18,$C$1+1)</f>
        <v/>
      </c>
      <c r="V14" s="6">
        <f>INDEX(V$15:V$18,$C$1+1)</f>
        <v/>
      </c>
      <c r="W14" s="6">
        <f>INDEX(W$15:W$18,$C$1+1)</f>
        <v/>
      </c>
      <c r="X14" s="6">
        <f>INDEX(X$15:X$18,$C$1+1)</f>
        <v/>
      </c>
      <c r="Y14" s="6">
        <f>INDEX(Y$15:Y$18,$C$1+1)</f>
        <v/>
      </c>
      <c r="Z14" s="6">
        <f>INDEX(Z$15:Z$18,$C$1+1)</f>
        <v/>
      </c>
      <c r="AA14" s="6">
        <f>INDEX(AA$15:AA$18,$C$1+1)</f>
        <v/>
      </c>
      <c r="AB14" s="6">
        <f>INDEX(AB$15:AB$18,$C$1+1)</f>
        <v/>
      </c>
      <c r="AC14" s="6">
        <f>INDEX(AC$15:AC$18,$C$1+1)</f>
        <v/>
      </c>
      <c r="AD14" s="6">
        <f>INDEX(AD$15:AD$18,$C$1+1)</f>
        <v/>
      </c>
      <c r="AE14" s="6">
        <f>INDEX(AE$15:AE$18,$C$1+1)</f>
        <v/>
      </c>
      <c r="AF14" s="6">
        <f>INDEX(AF$15:AF$18,$C$1+1)</f>
        <v/>
      </c>
      <c r="AG14" s="6">
        <f>INDEX(AG$15:AG$18,$C$1+1)</f>
        <v/>
      </c>
      <c r="AH14" s="6">
        <f>INDEX(AH$15:AH$18,$C$1+1)</f>
        <v/>
      </c>
      <c r="AI14" s="6">
        <f>INDEX(AI$15:AI$18,$C$1+1)</f>
        <v/>
      </c>
      <c r="AJ14" s="6">
        <f>INDEX(AJ$15:AJ$18,$C$1+1)</f>
        <v/>
      </c>
      <c r="AK14" s="6">
        <f>INDEX(AK$15:AK$18,$C$1+1)</f>
        <v/>
      </c>
      <c r="AL14" s="6">
        <f>INDEX(AL$15:AL$18,$C$1+1)</f>
        <v/>
      </c>
    </row>
    <row r="15">
      <c r="A15" t="n">
        <v>1</v>
      </c>
      <c r="B15" t="inlineStr">
        <is>
          <t>Base Case</t>
        </is>
      </c>
      <c r="C15" s="28" t="n">
        <v>0.05</v>
      </c>
      <c r="D15" s="28" t="n">
        <v>0.05</v>
      </c>
      <c r="E15" s="28" t="n">
        <v>0.05</v>
      </c>
      <c r="F15" s="28" t="n">
        <v>0.05</v>
      </c>
      <c r="G15" s="28" t="n">
        <v>0.05</v>
      </c>
      <c r="H15" s="28" t="n">
        <v>0.05</v>
      </c>
      <c r="I15" s="28" t="n">
        <v>0.05</v>
      </c>
      <c r="J15" s="28" t="n">
        <v>0.05</v>
      </c>
      <c r="K15" s="28" t="n">
        <v>0.05</v>
      </c>
      <c r="L15" s="28" t="n">
        <v>0.05</v>
      </c>
      <c r="M15" s="28" t="n">
        <v>0.05</v>
      </c>
      <c r="N15" s="28" t="n">
        <v>0.05</v>
      </c>
      <c r="O15" s="28" t="n">
        <v>0.05</v>
      </c>
      <c r="P15" s="28" t="n">
        <v>0.05</v>
      </c>
      <c r="Q15" s="28" t="n">
        <v>0.05</v>
      </c>
      <c r="R15" s="28" t="n">
        <v>0.05</v>
      </c>
      <c r="S15" s="28" t="n">
        <v>0.05</v>
      </c>
      <c r="T15" s="28" t="n">
        <v>0.05</v>
      </c>
      <c r="U15" s="28" t="n">
        <v>0.05</v>
      </c>
      <c r="V15" s="28" t="n">
        <v>0.05</v>
      </c>
      <c r="W15" s="28" t="n">
        <v>0.05</v>
      </c>
      <c r="X15" s="28" t="n">
        <v>0.05</v>
      </c>
      <c r="Y15" s="28" t="n">
        <v>0.05</v>
      </c>
      <c r="Z15" s="28" t="n">
        <v>0.05</v>
      </c>
      <c r="AA15" s="28" t="n">
        <v>0.05</v>
      </c>
      <c r="AB15" s="28" t="n">
        <v>0.05</v>
      </c>
      <c r="AC15" s="28" t="n">
        <v>0.05</v>
      </c>
      <c r="AD15" s="28" t="n">
        <v>0.05</v>
      </c>
      <c r="AE15" s="28" t="n">
        <v>0.05</v>
      </c>
      <c r="AF15" s="28" t="n">
        <v>0.05</v>
      </c>
      <c r="AG15" s="28" t="n">
        <v>0.05</v>
      </c>
      <c r="AH15" s="28" t="n">
        <v>0.05</v>
      </c>
      <c r="AI15" s="28" t="n">
        <v>0.05</v>
      </c>
      <c r="AJ15" s="28" t="n">
        <v>0.05</v>
      </c>
      <c r="AK15" s="28" t="n">
        <v>0.05</v>
      </c>
      <c r="AL15" s="28" t="n">
        <v>0.05</v>
      </c>
    </row>
    <row r="16">
      <c r="A16" t="n">
        <v>2</v>
      </c>
      <c r="B16" t="inlineStr">
        <is>
          <t>Upside Case</t>
        </is>
      </c>
      <c r="C16" s="17" t="n">
        <v>0.05</v>
      </c>
      <c r="D16" s="17" t="n">
        <v>0.05</v>
      </c>
      <c r="E16" s="17" t="n">
        <v>0.05</v>
      </c>
      <c r="F16" s="17" t="n">
        <v>0.05</v>
      </c>
      <c r="G16" s="17" t="n">
        <v>0.05</v>
      </c>
      <c r="H16" s="17" t="n">
        <v>0.05</v>
      </c>
      <c r="I16" s="17" t="n">
        <v>0.05</v>
      </c>
      <c r="J16" s="17" t="n">
        <v>0.05</v>
      </c>
      <c r="K16" s="17" t="n">
        <v>0.05</v>
      </c>
      <c r="L16" s="17" t="n">
        <v>0.05</v>
      </c>
      <c r="M16" s="17" t="n">
        <v>0.05</v>
      </c>
      <c r="N16" s="17" t="n">
        <v>0.05</v>
      </c>
      <c r="O16" s="17" t="n">
        <v>0.05</v>
      </c>
      <c r="P16" s="17" t="n">
        <v>0.05</v>
      </c>
      <c r="Q16" s="17" t="n">
        <v>0.05</v>
      </c>
      <c r="R16" s="17" t="n">
        <v>0.05</v>
      </c>
      <c r="S16" s="17" t="n">
        <v>0.05</v>
      </c>
      <c r="T16" s="17" t="n">
        <v>0.05</v>
      </c>
      <c r="U16" s="17" t="n">
        <v>0.05</v>
      </c>
      <c r="V16" s="17" t="n">
        <v>0.05</v>
      </c>
      <c r="W16" s="17" t="n">
        <v>0.05</v>
      </c>
      <c r="X16" s="17" t="n">
        <v>0.05</v>
      </c>
      <c r="Y16" s="17" t="n">
        <v>0.05</v>
      </c>
      <c r="Z16" s="17" t="n">
        <v>0.05</v>
      </c>
      <c r="AA16" s="17" t="n">
        <v>0.05</v>
      </c>
      <c r="AB16" s="17" t="n">
        <v>0.05</v>
      </c>
      <c r="AC16" s="17" t="n">
        <v>0.05</v>
      </c>
      <c r="AD16" s="17" t="n">
        <v>0.05</v>
      </c>
      <c r="AE16" s="17" t="n">
        <v>0.05</v>
      </c>
      <c r="AF16" s="17" t="n">
        <v>0.05</v>
      </c>
      <c r="AG16" s="17" t="n">
        <v>0.05</v>
      </c>
      <c r="AH16" s="17" t="n">
        <v>0.05</v>
      </c>
      <c r="AI16" s="17" t="n">
        <v>0.05</v>
      </c>
      <c r="AJ16" s="17" t="n">
        <v>0.05</v>
      </c>
      <c r="AK16" s="17" t="n">
        <v>0.05</v>
      </c>
      <c r="AL16" s="17" t="n">
        <v>0.05</v>
      </c>
    </row>
    <row r="17">
      <c r="A17" t="n">
        <v>3</v>
      </c>
      <c r="B17" t="inlineStr">
        <is>
          <t>Downside Case</t>
        </is>
      </c>
      <c r="C17" s="17" t="n">
        <v>0.05</v>
      </c>
      <c r="D17" s="17" t="n">
        <v>0.05</v>
      </c>
      <c r="E17" s="17" t="n">
        <v>0.05</v>
      </c>
      <c r="F17" s="17" t="n">
        <v>0.05</v>
      </c>
      <c r="G17" s="17" t="n">
        <v>0.05</v>
      </c>
      <c r="H17" s="17" t="n">
        <v>0.05</v>
      </c>
      <c r="I17" s="17" t="n">
        <v>0.05</v>
      </c>
      <c r="J17" s="17" t="n">
        <v>0.05</v>
      </c>
      <c r="K17" s="17" t="n">
        <v>0.05</v>
      </c>
      <c r="L17" s="17" t="n">
        <v>0.05</v>
      </c>
      <c r="M17" s="17" t="n">
        <v>0.05</v>
      </c>
      <c r="N17" s="17" t="n">
        <v>0.05</v>
      </c>
      <c r="O17" s="17" t="n">
        <v>0.05</v>
      </c>
      <c r="P17" s="17" t="n">
        <v>0.05</v>
      </c>
      <c r="Q17" s="17" t="n">
        <v>0.05</v>
      </c>
      <c r="R17" s="17" t="n">
        <v>0.05</v>
      </c>
      <c r="S17" s="17" t="n">
        <v>0.05</v>
      </c>
      <c r="T17" s="17" t="n">
        <v>0.05</v>
      </c>
      <c r="U17" s="17" t="n">
        <v>0.05</v>
      </c>
      <c r="V17" s="17" t="n">
        <v>0.05</v>
      </c>
      <c r="W17" s="17" t="n">
        <v>0.05</v>
      </c>
      <c r="X17" s="17" t="n">
        <v>0.05</v>
      </c>
      <c r="Y17" s="17" t="n">
        <v>0.05</v>
      </c>
      <c r="Z17" s="17" t="n">
        <v>0.05</v>
      </c>
      <c r="AA17" s="17" t="n">
        <v>0.05</v>
      </c>
      <c r="AB17" s="17" t="n">
        <v>0.05</v>
      </c>
      <c r="AC17" s="17" t="n">
        <v>0.05</v>
      </c>
      <c r="AD17" s="17" t="n">
        <v>0.05</v>
      </c>
      <c r="AE17" s="17" t="n">
        <v>0.05</v>
      </c>
      <c r="AF17" s="17" t="n">
        <v>0.05</v>
      </c>
      <c r="AG17" s="17" t="n">
        <v>0.05</v>
      </c>
      <c r="AH17" s="17" t="n">
        <v>0.05</v>
      </c>
      <c r="AI17" s="17" t="n">
        <v>0.05</v>
      </c>
      <c r="AJ17" s="17" t="n">
        <v>0.05</v>
      </c>
      <c r="AK17" s="17" t="n">
        <v>0.05</v>
      </c>
      <c r="AL17" s="17" t="n">
        <v>0.05</v>
      </c>
    </row>
    <row r="18">
      <c r="A18" t="n">
        <v>4</v>
      </c>
      <c r="B18" t="inlineStr">
        <is>
          <t>Upside-Upside Case</t>
        </is>
      </c>
      <c r="C18" s="18" t="n">
        <v>0.05</v>
      </c>
      <c r="D18" s="18" t="n">
        <v>0.05</v>
      </c>
      <c r="E18" s="18" t="n">
        <v>0.05</v>
      </c>
      <c r="F18" s="18" t="n">
        <v>0.05</v>
      </c>
      <c r="G18" s="18" t="n">
        <v>0.05</v>
      </c>
      <c r="H18" s="18" t="n">
        <v>0.05</v>
      </c>
      <c r="I18" s="18" t="n">
        <v>0.05</v>
      </c>
      <c r="J18" s="18" t="n">
        <v>0.05</v>
      </c>
      <c r="K18" s="18" t="n">
        <v>0.05</v>
      </c>
      <c r="L18" s="18" t="n">
        <v>0.05</v>
      </c>
      <c r="M18" s="18" t="n">
        <v>0.05</v>
      </c>
      <c r="N18" s="18" t="n">
        <v>0.05</v>
      </c>
      <c r="O18" s="18" t="n">
        <v>0.05</v>
      </c>
      <c r="P18" s="18" t="n">
        <v>0.05</v>
      </c>
      <c r="Q18" s="18" t="n">
        <v>0.05</v>
      </c>
      <c r="R18" s="18" t="n">
        <v>0.05</v>
      </c>
      <c r="S18" s="18" t="n">
        <v>0.05</v>
      </c>
      <c r="T18" s="18" t="n">
        <v>0.05</v>
      </c>
      <c r="U18" s="18" t="n">
        <v>0.05</v>
      </c>
      <c r="V18" s="18" t="n">
        <v>0.05</v>
      </c>
      <c r="W18" s="18" t="n">
        <v>0.05</v>
      </c>
      <c r="X18" s="18" t="n">
        <v>0.05</v>
      </c>
      <c r="Y18" s="18" t="n">
        <v>0.05</v>
      </c>
      <c r="Z18" s="18" t="n">
        <v>0.05</v>
      </c>
      <c r="AA18" s="18" t="n">
        <v>0.05</v>
      </c>
      <c r="AB18" s="18" t="n">
        <v>0.05</v>
      </c>
      <c r="AC18" s="18" t="n">
        <v>0.05</v>
      </c>
      <c r="AD18" s="18" t="n">
        <v>0.05</v>
      </c>
      <c r="AE18" s="18" t="n">
        <v>0.05</v>
      </c>
      <c r="AF18" s="18" t="n">
        <v>0.05</v>
      </c>
      <c r="AG18" s="18" t="n">
        <v>0.05</v>
      </c>
      <c r="AH18" s="18" t="n">
        <v>0.05</v>
      </c>
      <c r="AI18" s="18" t="n">
        <v>0.05</v>
      </c>
      <c r="AJ18" s="18" t="n">
        <v>0.05</v>
      </c>
      <c r="AK18" s="18" t="n">
        <v>0.05</v>
      </c>
      <c r="AL18" s="18" t="n">
        <v>0.05</v>
      </c>
    </row>
    <row r="20">
      <c r="B20" s="13" t="inlineStr">
        <is>
          <t>Pro monthly churn rate</t>
        </is>
      </c>
    </row>
    <row r="21">
      <c r="B21" s="13" t="inlineStr">
        <is>
          <t>ACTIVE CASE</t>
        </is>
      </c>
      <c r="C21" s="6">
        <f>INDEX(C$22:C$25,$C$1+1)</f>
        <v/>
      </c>
      <c r="D21" s="6">
        <f>INDEX(D$22:D$25,$C$1+1)</f>
        <v/>
      </c>
      <c r="E21" s="6">
        <f>INDEX(E$22:E$25,$C$1+1)</f>
        <v/>
      </c>
      <c r="F21" s="6">
        <f>INDEX(F$22:F$25,$C$1+1)</f>
        <v/>
      </c>
      <c r="G21" s="6">
        <f>INDEX(G$22:G$25,$C$1+1)</f>
        <v/>
      </c>
      <c r="H21" s="6">
        <f>INDEX(H$22:H$25,$C$1+1)</f>
        <v/>
      </c>
      <c r="I21" s="6">
        <f>INDEX(I$22:I$25,$C$1+1)</f>
        <v/>
      </c>
      <c r="J21" s="6">
        <f>INDEX(J$22:J$25,$C$1+1)</f>
        <v/>
      </c>
      <c r="K21" s="6">
        <f>INDEX(K$22:K$25,$C$1+1)</f>
        <v/>
      </c>
      <c r="L21" s="6">
        <f>INDEX(L$22:L$25,$C$1+1)</f>
        <v/>
      </c>
      <c r="M21" s="6">
        <f>INDEX(M$22:M$25,$C$1+1)</f>
        <v/>
      </c>
      <c r="N21" s="6">
        <f>INDEX(N$22:N$25,$C$1+1)</f>
        <v/>
      </c>
      <c r="O21" s="6">
        <f>INDEX(O$22:O$25,$C$1+1)</f>
        <v/>
      </c>
      <c r="P21" s="6">
        <f>INDEX(P$22:P$25,$C$1+1)</f>
        <v/>
      </c>
      <c r="Q21" s="6">
        <f>INDEX(Q$22:Q$25,$C$1+1)</f>
        <v/>
      </c>
      <c r="R21" s="6">
        <f>INDEX(R$22:R$25,$C$1+1)</f>
        <v/>
      </c>
      <c r="S21" s="6">
        <f>INDEX(S$22:S$25,$C$1+1)</f>
        <v/>
      </c>
      <c r="T21" s="6">
        <f>INDEX(T$22:T$25,$C$1+1)</f>
        <v/>
      </c>
      <c r="U21" s="6">
        <f>INDEX(U$22:U$25,$C$1+1)</f>
        <v/>
      </c>
      <c r="V21" s="6">
        <f>INDEX(V$22:V$25,$C$1+1)</f>
        <v/>
      </c>
      <c r="W21" s="6">
        <f>INDEX(W$22:W$25,$C$1+1)</f>
        <v/>
      </c>
      <c r="X21" s="6">
        <f>INDEX(X$22:X$25,$C$1+1)</f>
        <v/>
      </c>
      <c r="Y21" s="6">
        <f>INDEX(Y$22:Y$25,$C$1+1)</f>
        <v/>
      </c>
      <c r="Z21" s="6">
        <f>INDEX(Z$22:Z$25,$C$1+1)</f>
        <v/>
      </c>
      <c r="AA21" s="6">
        <f>INDEX(AA$22:AA$25,$C$1+1)</f>
        <v/>
      </c>
      <c r="AB21" s="6">
        <f>INDEX(AB$22:AB$25,$C$1+1)</f>
        <v/>
      </c>
      <c r="AC21" s="6">
        <f>INDEX(AC$22:AC$25,$C$1+1)</f>
        <v/>
      </c>
      <c r="AD21" s="6">
        <f>INDEX(AD$22:AD$25,$C$1+1)</f>
        <v/>
      </c>
      <c r="AE21" s="6">
        <f>INDEX(AE$22:AE$25,$C$1+1)</f>
        <v/>
      </c>
      <c r="AF21" s="6">
        <f>INDEX(AF$22:AF$25,$C$1+1)</f>
        <v/>
      </c>
      <c r="AG21" s="6">
        <f>INDEX(AG$22:AG$25,$C$1+1)</f>
        <v/>
      </c>
      <c r="AH21" s="6">
        <f>INDEX(AH$22:AH$25,$C$1+1)</f>
        <v/>
      </c>
      <c r="AI21" s="6">
        <f>INDEX(AI$22:AI$25,$C$1+1)</f>
        <v/>
      </c>
      <c r="AJ21" s="6">
        <f>INDEX(AJ$22:AJ$25,$C$1+1)</f>
        <v/>
      </c>
      <c r="AK21" s="6">
        <f>INDEX(AK$22:AK$25,$C$1+1)</f>
        <v/>
      </c>
      <c r="AL21" s="6">
        <f>INDEX(AL$22:AL$25,$C$1+1)</f>
        <v/>
      </c>
    </row>
    <row r="22">
      <c r="A22" t="n">
        <v>1</v>
      </c>
      <c r="B22" t="inlineStr">
        <is>
          <t>Base Case</t>
        </is>
      </c>
      <c r="C22" s="28" t="n">
        <v>0.06</v>
      </c>
      <c r="D22" s="28" t="n">
        <v>0.06</v>
      </c>
      <c r="E22" s="28" t="n">
        <v>0.06</v>
      </c>
      <c r="F22" s="28" t="n">
        <v>0.06</v>
      </c>
      <c r="G22" s="28" t="n">
        <v>0.06</v>
      </c>
      <c r="H22" s="28" t="n">
        <v>0.06</v>
      </c>
      <c r="I22" s="28" t="n">
        <v>0.06</v>
      </c>
      <c r="J22" s="28" t="n">
        <v>0.06</v>
      </c>
      <c r="K22" s="28" t="n">
        <v>0.06</v>
      </c>
      <c r="L22" s="28" t="n">
        <v>0.06</v>
      </c>
      <c r="M22" s="28" t="n">
        <v>0.06</v>
      </c>
      <c r="N22" s="28" t="n">
        <v>0.06</v>
      </c>
      <c r="O22" s="28" t="n">
        <v>0.06</v>
      </c>
      <c r="P22" s="28" t="n">
        <v>0.06</v>
      </c>
      <c r="Q22" s="28" t="n">
        <v>0.06</v>
      </c>
      <c r="R22" s="28" t="n">
        <v>0.06</v>
      </c>
      <c r="S22" s="28" t="n">
        <v>0.06</v>
      </c>
      <c r="T22" s="28" t="n">
        <v>0.06</v>
      </c>
      <c r="U22" s="28" t="n">
        <v>0.06</v>
      </c>
      <c r="V22" s="28" t="n">
        <v>0.06</v>
      </c>
      <c r="W22" s="28" t="n">
        <v>0.06</v>
      </c>
      <c r="X22" s="28" t="n">
        <v>0.06</v>
      </c>
      <c r="Y22" s="28" t="n">
        <v>0.06</v>
      </c>
      <c r="Z22" s="28" t="n">
        <v>0.06</v>
      </c>
      <c r="AA22" s="28" t="n">
        <v>0.06</v>
      </c>
      <c r="AB22" s="28" t="n">
        <v>0.06</v>
      </c>
      <c r="AC22" s="28" t="n">
        <v>0.06</v>
      </c>
      <c r="AD22" s="28" t="n">
        <v>0.06</v>
      </c>
      <c r="AE22" s="28" t="n">
        <v>0.06</v>
      </c>
      <c r="AF22" s="28" t="n">
        <v>0.06</v>
      </c>
      <c r="AG22" s="28" t="n">
        <v>0.06</v>
      </c>
      <c r="AH22" s="28" t="n">
        <v>0.06</v>
      </c>
      <c r="AI22" s="28" t="n">
        <v>0.06</v>
      </c>
      <c r="AJ22" s="28" t="n">
        <v>0.06</v>
      </c>
      <c r="AK22" s="28" t="n">
        <v>0.06</v>
      </c>
      <c r="AL22" s="28" t="n">
        <v>0.06</v>
      </c>
    </row>
    <row r="23">
      <c r="A23" t="n">
        <v>2</v>
      </c>
      <c r="B23" t="inlineStr">
        <is>
          <t>Upside Case</t>
        </is>
      </c>
      <c r="C23" s="17" t="n">
        <v>0.06</v>
      </c>
      <c r="D23" s="17" t="n">
        <v>0.06</v>
      </c>
      <c r="E23" s="17" t="n">
        <v>0.06</v>
      </c>
      <c r="F23" s="17" t="n">
        <v>0.06</v>
      </c>
      <c r="G23" s="17" t="n">
        <v>0.06</v>
      </c>
      <c r="H23" s="17" t="n">
        <v>0.06</v>
      </c>
      <c r="I23" s="17" t="n">
        <v>0.06</v>
      </c>
      <c r="J23" s="17" t="n">
        <v>0.06</v>
      </c>
      <c r="K23" s="17" t="n">
        <v>0.06</v>
      </c>
      <c r="L23" s="17" t="n">
        <v>0.06</v>
      </c>
      <c r="M23" s="17" t="n">
        <v>0.06</v>
      </c>
      <c r="N23" s="17" t="n">
        <v>0.06</v>
      </c>
      <c r="O23" s="17" t="n">
        <v>0.06</v>
      </c>
      <c r="P23" s="17" t="n">
        <v>0.06</v>
      </c>
      <c r="Q23" s="17" t="n">
        <v>0.06</v>
      </c>
      <c r="R23" s="17" t="n">
        <v>0.06</v>
      </c>
      <c r="S23" s="17" t="n">
        <v>0.06</v>
      </c>
      <c r="T23" s="17" t="n">
        <v>0.06</v>
      </c>
      <c r="U23" s="17" t="n">
        <v>0.06</v>
      </c>
      <c r="V23" s="17" t="n">
        <v>0.06</v>
      </c>
      <c r="W23" s="17" t="n">
        <v>0.06</v>
      </c>
      <c r="X23" s="17" t="n">
        <v>0.06</v>
      </c>
      <c r="Y23" s="17" t="n">
        <v>0.06</v>
      </c>
      <c r="Z23" s="17" t="n">
        <v>0.06</v>
      </c>
      <c r="AA23" s="17" t="n">
        <v>0.06</v>
      </c>
      <c r="AB23" s="17" t="n">
        <v>0.06</v>
      </c>
      <c r="AC23" s="17" t="n">
        <v>0.06</v>
      </c>
      <c r="AD23" s="17" t="n">
        <v>0.06</v>
      </c>
      <c r="AE23" s="17" t="n">
        <v>0.06</v>
      </c>
      <c r="AF23" s="17" t="n">
        <v>0.06</v>
      </c>
      <c r="AG23" s="17" t="n">
        <v>0.06</v>
      </c>
      <c r="AH23" s="17" t="n">
        <v>0.06</v>
      </c>
      <c r="AI23" s="17" t="n">
        <v>0.06</v>
      </c>
      <c r="AJ23" s="17" t="n">
        <v>0.06</v>
      </c>
      <c r="AK23" s="17" t="n">
        <v>0.06</v>
      </c>
      <c r="AL23" s="17" t="n">
        <v>0.06</v>
      </c>
    </row>
    <row r="24">
      <c r="A24" t="n">
        <v>3</v>
      </c>
      <c r="B24" t="inlineStr">
        <is>
          <t>Downside Case</t>
        </is>
      </c>
      <c r="C24" s="17" t="n">
        <v>0.06</v>
      </c>
      <c r="D24" s="17" t="n">
        <v>0.06</v>
      </c>
      <c r="E24" s="17" t="n">
        <v>0.06</v>
      </c>
      <c r="F24" s="17" t="n">
        <v>0.06</v>
      </c>
      <c r="G24" s="17" t="n">
        <v>0.06</v>
      </c>
      <c r="H24" s="17" t="n">
        <v>0.06</v>
      </c>
      <c r="I24" s="17" t="n">
        <v>0.06</v>
      </c>
      <c r="J24" s="17" t="n">
        <v>0.06</v>
      </c>
      <c r="K24" s="17" t="n">
        <v>0.06</v>
      </c>
      <c r="L24" s="17" t="n">
        <v>0.06</v>
      </c>
      <c r="M24" s="17" t="n">
        <v>0.06</v>
      </c>
      <c r="N24" s="17" t="n">
        <v>0.06</v>
      </c>
      <c r="O24" s="17" t="n">
        <v>0.06</v>
      </c>
      <c r="P24" s="17" t="n">
        <v>0.06</v>
      </c>
      <c r="Q24" s="17" t="n">
        <v>0.06</v>
      </c>
      <c r="R24" s="17" t="n">
        <v>0.06</v>
      </c>
      <c r="S24" s="17" t="n">
        <v>0.06</v>
      </c>
      <c r="T24" s="17" t="n">
        <v>0.06</v>
      </c>
      <c r="U24" s="17" t="n">
        <v>0.06</v>
      </c>
      <c r="V24" s="17" t="n">
        <v>0.06</v>
      </c>
      <c r="W24" s="17" t="n">
        <v>0.06</v>
      </c>
      <c r="X24" s="17" t="n">
        <v>0.06</v>
      </c>
      <c r="Y24" s="17" t="n">
        <v>0.06</v>
      </c>
      <c r="Z24" s="17" t="n">
        <v>0.06</v>
      </c>
      <c r="AA24" s="17" t="n">
        <v>0.06</v>
      </c>
      <c r="AB24" s="17" t="n">
        <v>0.06</v>
      </c>
      <c r="AC24" s="17" t="n">
        <v>0.06</v>
      </c>
      <c r="AD24" s="17" t="n">
        <v>0.06</v>
      </c>
      <c r="AE24" s="17" t="n">
        <v>0.06</v>
      </c>
      <c r="AF24" s="17" t="n">
        <v>0.06</v>
      </c>
      <c r="AG24" s="17" t="n">
        <v>0.06</v>
      </c>
      <c r="AH24" s="17" t="n">
        <v>0.06</v>
      </c>
      <c r="AI24" s="17" t="n">
        <v>0.06</v>
      </c>
      <c r="AJ24" s="17" t="n">
        <v>0.06</v>
      </c>
      <c r="AK24" s="17" t="n">
        <v>0.06</v>
      </c>
      <c r="AL24" s="17" t="n">
        <v>0.06</v>
      </c>
    </row>
    <row r="25">
      <c r="A25" t="n">
        <v>4</v>
      </c>
      <c r="B25" t="inlineStr">
        <is>
          <t>Upside-Upside Case</t>
        </is>
      </c>
      <c r="C25" s="18" t="n">
        <v>0.06</v>
      </c>
      <c r="D25" s="18" t="n">
        <v>0.06</v>
      </c>
      <c r="E25" s="18" t="n">
        <v>0.06</v>
      </c>
      <c r="F25" s="18" t="n">
        <v>0.06</v>
      </c>
      <c r="G25" s="18" t="n">
        <v>0.06</v>
      </c>
      <c r="H25" s="18" t="n">
        <v>0.06</v>
      </c>
      <c r="I25" s="18" t="n">
        <v>0.06</v>
      </c>
      <c r="J25" s="18" t="n">
        <v>0.06</v>
      </c>
      <c r="K25" s="18" t="n">
        <v>0.06</v>
      </c>
      <c r="L25" s="18" t="n">
        <v>0.06</v>
      </c>
      <c r="M25" s="18" t="n">
        <v>0.06</v>
      </c>
      <c r="N25" s="18" t="n">
        <v>0.06</v>
      </c>
      <c r="O25" s="18" t="n">
        <v>0.06</v>
      </c>
      <c r="P25" s="18" t="n">
        <v>0.06</v>
      </c>
      <c r="Q25" s="18" t="n">
        <v>0.06</v>
      </c>
      <c r="R25" s="18" t="n">
        <v>0.06</v>
      </c>
      <c r="S25" s="18" t="n">
        <v>0.06</v>
      </c>
      <c r="T25" s="18" t="n">
        <v>0.06</v>
      </c>
      <c r="U25" s="18" t="n">
        <v>0.06</v>
      </c>
      <c r="V25" s="18" t="n">
        <v>0.06</v>
      </c>
      <c r="W25" s="18" t="n">
        <v>0.06</v>
      </c>
      <c r="X25" s="18" t="n">
        <v>0.06</v>
      </c>
      <c r="Y25" s="18" t="n">
        <v>0.06</v>
      </c>
      <c r="Z25" s="18" t="n">
        <v>0.06</v>
      </c>
      <c r="AA25" s="18" t="n">
        <v>0.06</v>
      </c>
      <c r="AB25" s="18" t="n">
        <v>0.06</v>
      </c>
      <c r="AC25" s="18" t="n">
        <v>0.06</v>
      </c>
      <c r="AD25" s="18" t="n">
        <v>0.06</v>
      </c>
      <c r="AE25" s="18" t="n">
        <v>0.06</v>
      </c>
      <c r="AF25" s="18" t="n">
        <v>0.06</v>
      </c>
      <c r="AG25" s="18" t="n">
        <v>0.06</v>
      </c>
      <c r="AH25" s="18" t="n">
        <v>0.06</v>
      </c>
      <c r="AI25" s="18" t="n">
        <v>0.06</v>
      </c>
      <c r="AJ25" s="18" t="n">
        <v>0.06</v>
      </c>
      <c r="AK25" s="18" t="n">
        <v>0.06</v>
      </c>
      <c r="AL25" s="18" t="n">
        <v>0.06</v>
      </c>
    </row>
    <row r="27">
      <c r="B27" s="13" t="inlineStr">
        <is>
          <t>Composer runs / Pro sub / month</t>
        </is>
      </c>
    </row>
    <row r="28">
      <c r="B28" s="13" t="inlineStr">
        <is>
          <t>ACTIVE CASE</t>
        </is>
      </c>
      <c r="C28" s="9">
        <f>INDEX(C$29:C$32,$C$1+1)</f>
        <v/>
      </c>
      <c r="D28" s="9">
        <f>INDEX(D$29:D$32,$C$1+1)</f>
        <v/>
      </c>
      <c r="E28" s="9">
        <f>INDEX(E$29:E$32,$C$1+1)</f>
        <v/>
      </c>
      <c r="F28" s="9">
        <f>INDEX(F$29:F$32,$C$1+1)</f>
        <v/>
      </c>
      <c r="G28" s="9">
        <f>INDEX(G$29:G$32,$C$1+1)</f>
        <v/>
      </c>
      <c r="H28" s="9">
        <f>INDEX(H$29:H$32,$C$1+1)</f>
        <v/>
      </c>
      <c r="I28" s="9">
        <f>INDEX(I$29:I$32,$C$1+1)</f>
        <v/>
      </c>
      <c r="J28" s="9">
        <f>INDEX(J$29:J$32,$C$1+1)</f>
        <v/>
      </c>
      <c r="K28" s="9">
        <f>INDEX(K$29:K$32,$C$1+1)</f>
        <v/>
      </c>
      <c r="L28" s="9">
        <f>INDEX(L$29:L$32,$C$1+1)</f>
        <v/>
      </c>
      <c r="M28" s="9">
        <f>INDEX(M$29:M$32,$C$1+1)</f>
        <v/>
      </c>
      <c r="N28" s="9">
        <f>INDEX(N$29:N$32,$C$1+1)</f>
        <v/>
      </c>
      <c r="O28" s="9">
        <f>INDEX(O$29:O$32,$C$1+1)</f>
        <v/>
      </c>
      <c r="P28" s="9">
        <f>INDEX(P$29:P$32,$C$1+1)</f>
        <v/>
      </c>
      <c r="Q28" s="9">
        <f>INDEX(Q$29:Q$32,$C$1+1)</f>
        <v/>
      </c>
      <c r="R28" s="9">
        <f>INDEX(R$29:R$32,$C$1+1)</f>
        <v/>
      </c>
      <c r="S28" s="9">
        <f>INDEX(S$29:S$32,$C$1+1)</f>
        <v/>
      </c>
      <c r="T28" s="9">
        <f>INDEX(T$29:T$32,$C$1+1)</f>
        <v/>
      </c>
      <c r="U28" s="9">
        <f>INDEX(U$29:U$32,$C$1+1)</f>
        <v/>
      </c>
      <c r="V28" s="9">
        <f>INDEX(V$29:V$32,$C$1+1)</f>
        <v/>
      </c>
      <c r="W28" s="9">
        <f>INDEX(W$29:W$32,$C$1+1)</f>
        <v/>
      </c>
      <c r="X28" s="9">
        <f>INDEX(X$29:X$32,$C$1+1)</f>
        <v/>
      </c>
      <c r="Y28" s="9">
        <f>INDEX(Y$29:Y$32,$C$1+1)</f>
        <v/>
      </c>
      <c r="Z28" s="9">
        <f>INDEX(Z$29:Z$32,$C$1+1)</f>
        <v/>
      </c>
      <c r="AA28" s="9">
        <f>INDEX(AA$29:AA$32,$C$1+1)</f>
        <v/>
      </c>
      <c r="AB28" s="9">
        <f>INDEX(AB$29:AB$32,$C$1+1)</f>
        <v/>
      </c>
      <c r="AC28" s="9">
        <f>INDEX(AC$29:AC$32,$C$1+1)</f>
        <v/>
      </c>
      <c r="AD28" s="9">
        <f>INDEX(AD$29:AD$32,$C$1+1)</f>
        <v/>
      </c>
      <c r="AE28" s="9">
        <f>INDEX(AE$29:AE$32,$C$1+1)</f>
        <v/>
      </c>
      <c r="AF28" s="9">
        <f>INDEX(AF$29:AF$32,$C$1+1)</f>
        <v/>
      </c>
      <c r="AG28" s="9">
        <f>INDEX(AG$29:AG$32,$C$1+1)</f>
        <v/>
      </c>
      <c r="AH28" s="9">
        <f>INDEX(AH$29:AH$32,$C$1+1)</f>
        <v/>
      </c>
      <c r="AI28" s="9">
        <f>INDEX(AI$29:AI$32,$C$1+1)</f>
        <v/>
      </c>
      <c r="AJ28" s="9">
        <f>INDEX(AJ$29:AJ$32,$C$1+1)</f>
        <v/>
      </c>
      <c r="AK28" s="9">
        <f>INDEX(AK$29:AK$32,$C$1+1)</f>
        <v/>
      </c>
      <c r="AL28" s="9">
        <f>INDEX(AL$29:AL$32,$C$1+1)</f>
        <v/>
      </c>
    </row>
    <row r="29">
      <c r="A29" t="n">
        <v>1</v>
      </c>
      <c r="B29" t="inlineStr">
        <is>
          <t>Base Case</t>
        </is>
      </c>
      <c r="C29" s="27" t="n">
        <v>25</v>
      </c>
      <c r="D29" s="27" t="n">
        <v>25</v>
      </c>
      <c r="E29" s="27" t="n">
        <v>25</v>
      </c>
      <c r="F29" s="27" t="n">
        <v>25</v>
      </c>
      <c r="G29" s="27" t="n">
        <v>25</v>
      </c>
      <c r="H29" s="27" t="n">
        <v>25</v>
      </c>
      <c r="I29" s="27" t="n">
        <v>25</v>
      </c>
      <c r="J29" s="27" t="n">
        <v>25</v>
      </c>
      <c r="K29" s="27" t="n">
        <v>25</v>
      </c>
      <c r="L29" s="27" t="n">
        <v>25</v>
      </c>
      <c r="M29" s="27" t="n">
        <v>25</v>
      </c>
      <c r="N29" s="27" t="n">
        <v>25</v>
      </c>
      <c r="O29" s="27" t="n">
        <v>25</v>
      </c>
      <c r="P29" s="27" t="n">
        <v>25</v>
      </c>
      <c r="Q29" s="27" t="n">
        <v>25</v>
      </c>
      <c r="R29" s="27" t="n">
        <v>25</v>
      </c>
      <c r="S29" s="27" t="n">
        <v>25</v>
      </c>
      <c r="T29" s="27" t="n">
        <v>25</v>
      </c>
      <c r="U29" s="27" t="n">
        <v>25</v>
      </c>
      <c r="V29" s="27" t="n">
        <v>25</v>
      </c>
      <c r="W29" s="27" t="n">
        <v>25</v>
      </c>
      <c r="X29" s="27" t="n">
        <v>25</v>
      </c>
      <c r="Y29" s="27" t="n">
        <v>25</v>
      </c>
      <c r="Z29" s="27" t="n">
        <v>25</v>
      </c>
      <c r="AA29" s="27" t="n">
        <v>25</v>
      </c>
      <c r="AB29" s="27" t="n">
        <v>25</v>
      </c>
      <c r="AC29" s="27" t="n">
        <v>25</v>
      </c>
      <c r="AD29" s="27" t="n">
        <v>25</v>
      </c>
      <c r="AE29" s="27" t="n">
        <v>25</v>
      </c>
      <c r="AF29" s="27" t="n">
        <v>25</v>
      </c>
      <c r="AG29" s="27" t="n">
        <v>25</v>
      </c>
      <c r="AH29" s="27" t="n">
        <v>25</v>
      </c>
      <c r="AI29" s="27" t="n">
        <v>25</v>
      </c>
      <c r="AJ29" s="27" t="n">
        <v>25</v>
      </c>
      <c r="AK29" s="27" t="n">
        <v>25</v>
      </c>
      <c r="AL29" s="27" t="n">
        <v>25</v>
      </c>
    </row>
    <row r="30">
      <c r="A30" t="n">
        <v>2</v>
      </c>
      <c r="B30" t="inlineStr">
        <is>
          <t>Upside Case</t>
        </is>
      </c>
      <c r="C30" s="15" t="n">
        <v>25</v>
      </c>
      <c r="D30" s="15" t="n">
        <v>25</v>
      </c>
      <c r="E30" s="15" t="n">
        <v>25</v>
      </c>
      <c r="F30" s="15" t="n">
        <v>25</v>
      </c>
      <c r="G30" s="15" t="n">
        <v>25</v>
      </c>
      <c r="H30" s="15" t="n">
        <v>25</v>
      </c>
      <c r="I30" s="15" t="n">
        <v>25</v>
      </c>
      <c r="J30" s="15" t="n">
        <v>25</v>
      </c>
      <c r="K30" s="15" t="n">
        <v>25</v>
      </c>
      <c r="L30" s="15" t="n">
        <v>25</v>
      </c>
      <c r="M30" s="15" t="n">
        <v>25</v>
      </c>
      <c r="N30" s="15" t="n">
        <v>25</v>
      </c>
      <c r="O30" s="15" t="n">
        <v>25</v>
      </c>
      <c r="P30" s="15" t="n">
        <v>25</v>
      </c>
      <c r="Q30" s="15" t="n">
        <v>25</v>
      </c>
      <c r="R30" s="15" t="n">
        <v>25</v>
      </c>
      <c r="S30" s="15" t="n">
        <v>25</v>
      </c>
      <c r="T30" s="15" t="n">
        <v>25</v>
      </c>
      <c r="U30" s="15" t="n">
        <v>25</v>
      </c>
      <c r="V30" s="15" t="n">
        <v>25</v>
      </c>
      <c r="W30" s="15" t="n">
        <v>25</v>
      </c>
      <c r="X30" s="15" t="n">
        <v>25</v>
      </c>
      <c r="Y30" s="15" t="n">
        <v>25</v>
      </c>
      <c r="Z30" s="15" t="n">
        <v>25</v>
      </c>
      <c r="AA30" s="15" t="n">
        <v>25</v>
      </c>
      <c r="AB30" s="15" t="n">
        <v>25</v>
      </c>
      <c r="AC30" s="15" t="n">
        <v>25</v>
      </c>
      <c r="AD30" s="15" t="n">
        <v>25</v>
      </c>
      <c r="AE30" s="15" t="n">
        <v>25</v>
      </c>
      <c r="AF30" s="15" t="n">
        <v>25</v>
      </c>
      <c r="AG30" s="15" t="n">
        <v>25</v>
      </c>
      <c r="AH30" s="15" t="n">
        <v>25</v>
      </c>
      <c r="AI30" s="15" t="n">
        <v>25</v>
      </c>
      <c r="AJ30" s="15" t="n">
        <v>25</v>
      </c>
      <c r="AK30" s="15" t="n">
        <v>25</v>
      </c>
      <c r="AL30" s="15" t="n">
        <v>25</v>
      </c>
    </row>
    <row r="31">
      <c r="A31" t="n">
        <v>3</v>
      </c>
      <c r="B31" t="inlineStr">
        <is>
          <t>Downside Case</t>
        </is>
      </c>
      <c r="C31" s="15" t="n">
        <v>25</v>
      </c>
      <c r="D31" s="15" t="n">
        <v>25</v>
      </c>
      <c r="E31" s="15" t="n">
        <v>25</v>
      </c>
      <c r="F31" s="15" t="n">
        <v>25</v>
      </c>
      <c r="G31" s="15" t="n">
        <v>25</v>
      </c>
      <c r="H31" s="15" t="n">
        <v>25</v>
      </c>
      <c r="I31" s="15" t="n">
        <v>25</v>
      </c>
      <c r="J31" s="15" t="n">
        <v>25</v>
      </c>
      <c r="K31" s="15" t="n">
        <v>25</v>
      </c>
      <c r="L31" s="15" t="n">
        <v>25</v>
      </c>
      <c r="M31" s="15" t="n">
        <v>25</v>
      </c>
      <c r="N31" s="15" t="n">
        <v>25</v>
      </c>
      <c r="O31" s="15" t="n">
        <v>25</v>
      </c>
      <c r="P31" s="15" t="n">
        <v>25</v>
      </c>
      <c r="Q31" s="15" t="n">
        <v>25</v>
      </c>
      <c r="R31" s="15" t="n">
        <v>25</v>
      </c>
      <c r="S31" s="15" t="n">
        <v>25</v>
      </c>
      <c r="T31" s="15" t="n">
        <v>25</v>
      </c>
      <c r="U31" s="15" t="n">
        <v>25</v>
      </c>
      <c r="V31" s="15" t="n">
        <v>25</v>
      </c>
      <c r="W31" s="15" t="n">
        <v>25</v>
      </c>
      <c r="X31" s="15" t="n">
        <v>25</v>
      </c>
      <c r="Y31" s="15" t="n">
        <v>25</v>
      </c>
      <c r="Z31" s="15" t="n">
        <v>25</v>
      </c>
      <c r="AA31" s="15" t="n">
        <v>25</v>
      </c>
      <c r="AB31" s="15" t="n">
        <v>25</v>
      </c>
      <c r="AC31" s="15" t="n">
        <v>25</v>
      </c>
      <c r="AD31" s="15" t="n">
        <v>25</v>
      </c>
      <c r="AE31" s="15" t="n">
        <v>25</v>
      </c>
      <c r="AF31" s="15" t="n">
        <v>25</v>
      </c>
      <c r="AG31" s="15" t="n">
        <v>25</v>
      </c>
      <c r="AH31" s="15" t="n">
        <v>25</v>
      </c>
      <c r="AI31" s="15" t="n">
        <v>25</v>
      </c>
      <c r="AJ31" s="15" t="n">
        <v>25</v>
      </c>
      <c r="AK31" s="15" t="n">
        <v>25</v>
      </c>
      <c r="AL31" s="15" t="n">
        <v>25</v>
      </c>
    </row>
    <row r="32">
      <c r="A32" t="n">
        <v>4</v>
      </c>
      <c r="B32" t="inlineStr">
        <is>
          <t>Upside-Upside Case</t>
        </is>
      </c>
      <c r="C32" s="16" t="n">
        <v>25</v>
      </c>
      <c r="D32" s="16" t="n">
        <v>25</v>
      </c>
      <c r="E32" s="16" t="n">
        <v>25</v>
      </c>
      <c r="F32" s="16" t="n">
        <v>25</v>
      </c>
      <c r="G32" s="16" t="n">
        <v>25</v>
      </c>
      <c r="H32" s="16" t="n">
        <v>25</v>
      </c>
      <c r="I32" s="16" t="n">
        <v>25</v>
      </c>
      <c r="J32" s="16" t="n">
        <v>25</v>
      </c>
      <c r="K32" s="16" t="n">
        <v>25</v>
      </c>
      <c r="L32" s="16" t="n">
        <v>25</v>
      </c>
      <c r="M32" s="16" t="n">
        <v>25</v>
      </c>
      <c r="N32" s="16" t="n">
        <v>25</v>
      </c>
      <c r="O32" s="16" t="n">
        <v>25</v>
      </c>
      <c r="P32" s="16" t="n">
        <v>25</v>
      </c>
      <c r="Q32" s="16" t="n">
        <v>25</v>
      </c>
      <c r="R32" s="16" t="n">
        <v>25</v>
      </c>
      <c r="S32" s="16" t="n">
        <v>25</v>
      </c>
      <c r="T32" s="16" t="n">
        <v>25</v>
      </c>
      <c r="U32" s="16" t="n">
        <v>25</v>
      </c>
      <c r="V32" s="16" t="n">
        <v>25</v>
      </c>
      <c r="W32" s="16" t="n">
        <v>25</v>
      </c>
      <c r="X32" s="16" t="n">
        <v>25</v>
      </c>
      <c r="Y32" s="16" t="n">
        <v>25</v>
      </c>
      <c r="Z32" s="16" t="n">
        <v>25</v>
      </c>
      <c r="AA32" s="16" t="n">
        <v>25</v>
      </c>
      <c r="AB32" s="16" t="n">
        <v>25</v>
      </c>
      <c r="AC32" s="16" t="n">
        <v>25</v>
      </c>
      <c r="AD32" s="16" t="n">
        <v>25</v>
      </c>
      <c r="AE32" s="16" t="n">
        <v>25</v>
      </c>
      <c r="AF32" s="16" t="n">
        <v>25</v>
      </c>
      <c r="AG32" s="16" t="n">
        <v>25</v>
      </c>
      <c r="AH32" s="16" t="n">
        <v>25</v>
      </c>
      <c r="AI32" s="16" t="n">
        <v>25</v>
      </c>
      <c r="AJ32" s="16" t="n">
        <v>25</v>
      </c>
      <c r="AK32" s="16" t="n">
        <v>25</v>
      </c>
      <c r="AL32" s="16" t="n">
        <v>25</v>
      </c>
    </row>
    <row r="34">
      <c r="B34" s="13" t="inlineStr">
        <is>
          <t>Paid marketing spend / month ($)</t>
        </is>
      </c>
    </row>
    <row r="35">
      <c r="B35" s="13" t="inlineStr">
        <is>
          <t>ACTIVE CASE</t>
        </is>
      </c>
      <c r="C35" s="7">
        <f>INDEX(C$36:C$39,$C$1+1)</f>
        <v/>
      </c>
      <c r="D35" s="7">
        <f>INDEX(D$36:D$39,$C$1+1)</f>
        <v/>
      </c>
      <c r="E35" s="7">
        <f>INDEX(E$36:E$39,$C$1+1)</f>
        <v/>
      </c>
      <c r="F35" s="7">
        <f>INDEX(F$36:F$39,$C$1+1)</f>
        <v/>
      </c>
      <c r="G35" s="7">
        <f>INDEX(G$36:G$39,$C$1+1)</f>
        <v/>
      </c>
      <c r="H35" s="7">
        <f>INDEX(H$36:H$39,$C$1+1)</f>
        <v/>
      </c>
      <c r="I35" s="7">
        <f>INDEX(I$36:I$39,$C$1+1)</f>
        <v/>
      </c>
      <c r="J35" s="7">
        <f>INDEX(J$36:J$39,$C$1+1)</f>
        <v/>
      </c>
      <c r="K35" s="7">
        <f>INDEX(K$36:K$39,$C$1+1)</f>
        <v/>
      </c>
      <c r="L35" s="7">
        <f>INDEX(L$36:L$39,$C$1+1)</f>
        <v/>
      </c>
      <c r="M35" s="7">
        <f>INDEX(M$36:M$39,$C$1+1)</f>
        <v/>
      </c>
      <c r="N35" s="7">
        <f>INDEX(N$36:N$39,$C$1+1)</f>
        <v/>
      </c>
      <c r="O35" s="7">
        <f>INDEX(O$36:O$39,$C$1+1)</f>
        <v/>
      </c>
      <c r="P35" s="7">
        <f>INDEX(P$36:P$39,$C$1+1)</f>
        <v/>
      </c>
      <c r="Q35" s="7">
        <f>INDEX(Q$36:Q$39,$C$1+1)</f>
        <v/>
      </c>
      <c r="R35" s="7">
        <f>INDEX(R$36:R$39,$C$1+1)</f>
        <v/>
      </c>
      <c r="S35" s="7">
        <f>INDEX(S$36:S$39,$C$1+1)</f>
        <v/>
      </c>
      <c r="T35" s="7">
        <f>INDEX(T$36:T$39,$C$1+1)</f>
        <v/>
      </c>
      <c r="U35" s="7">
        <f>INDEX(U$36:U$39,$C$1+1)</f>
        <v/>
      </c>
      <c r="V35" s="7">
        <f>INDEX(V$36:V$39,$C$1+1)</f>
        <v/>
      </c>
      <c r="W35" s="7">
        <f>INDEX(W$36:W$39,$C$1+1)</f>
        <v/>
      </c>
      <c r="X35" s="7">
        <f>INDEX(X$36:X$39,$C$1+1)</f>
        <v/>
      </c>
      <c r="Y35" s="7">
        <f>INDEX(Y$36:Y$39,$C$1+1)</f>
        <v/>
      </c>
      <c r="Z35" s="7">
        <f>INDEX(Z$36:Z$39,$C$1+1)</f>
        <v/>
      </c>
      <c r="AA35" s="7">
        <f>INDEX(AA$36:AA$39,$C$1+1)</f>
        <v/>
      </c>
      <c r="AB35" s="7">
        <f>INDEX(AB$36:AB$39,$C$1+1)</f>
        <v/>
      </c>
      <c r="AC35" s="7">
        <f>INDEX(AC$36:AC$39,$C$1+1)</f>
        <v/>
      </c>
      <c r="AD35" s="7">
        <f>INDEX(AD$36:AD$39,$C$1+1)</f>
        <v/>
      </c>
      <c r="AE35" s="7">
        <f>INDEX(AE$36:AE$39,$C$1+1)</f>
        <v/>
      </c>
      <c r="AF35" s="7">
        <f>INDEX(AF$36:AF$39,$C$1+1)</f>
        <v/>
      </c>
      <c r="AG35" s="7">
        <f>INDEX(AG$36:AG$39,$C$1+1)</f>
        <v/>
      </c>
      <c r="AH35" s="7">
        <f>INDEX(AH$36:AH$39,$C$1+1)</f>
        <v/>
      </c>
      <c r="AI35" s="7">
        <f>INDEX(AI$36:AI$39,$C$1+1)</f>
        <v/>
      </c>
      <c r="AJ35" s="7">
        <f>INDEX(AJ$36:AJ$39,$C$1+1)</f>
        <v/>
      </c>
      <c r="AK35" s="7">
        <f>INDEX(AK$36:AK$39,$C$1+1)</f>
        <v/>
      </c>
      <c r="AL35" s="7">
        <f>INDEX(AL$36:AL$39,$C$1+1)</f>
        <v/>
      </c>
    </row>
    <row r="36">
      <c r="A36" t="n">
        <v>1</v>
      </c>
      <c r="B36" t="inlineStr">
        <is>
          <t>Base Case</t>
        </is>
      </c>
      <c r="C36" s="29" t="n">
        <v>300</v>
      </c>
      <c r="D36" s="29" t="n">
        <v>300</v>
      </c>
      <c r="E36" s="29" t="n">
        <v>300</v>
      </c>
      <c r="F36" s="29" t="n">
        <v>300</v>
      </c>
      <c r="G36" s="29" t="n">
        <v>300</v>
      </c>
      <c r="H36" s="29" t="n">
        <v>300</v>
      </c>
      <c r="I36" s="29" t="n">
        <v>300</v>
      </c>
      <c r="J36" s="29" t="n">
        <v>300</v>
      </c>
      <c r="K36" s="29" t="n">
        <v>300</v>
      </c>
      <c r="L36" s="29" t="n">
        <v>300</v>
      </c>
      <c r="M36" s="29" t="n">
        <v>300</v>
      </c>
      <c r="N36" s="29" t="n">
        <v>300</v>
      </c>
      <c r="O36" s="29" t="n">
        <v>300</v>
      </c>
      <c r="P36" s="29" t="n">
        <v>300</v>
      </c>
      <c r="Q36" s="29" t="n">
        <v>300</v>
      </c>
      <c r="R36" s="29" t="n">
        <v>300</v>
      </c>
      <c r="S36" s="29" t="n">
        <v>300</v>
      </c>
      <c r="T36" s="29" t="n">
        <v>300</v>
      </c>
      <c r="U36" s="29" t="n">
        <v>300</v>
      </c>
      <c r="V36" s="29" t="n">
        <v>300</v>
      </c>
      <c r="W36" s="29" t="n">
        <v>300</v>
      </c>
      <c r="X36" s="29" t="n">
        <v>300</v>
      </c>
      <c r="Y36" s="29" t="n">
        <v>300</v>
      </c>
      <c r="Z36" s="29" t="n">
        <v>300</v>
      </c>
      <c r="AA36" s="29" t="n">
        <v>300</v>
      </c>
      <c r="AB36" s="29" t="n">
        <v>300</v>
      </c>
      <c r="AC36" s="29" t="n">
        <v>300</v>
      </c>
      <c r="AD36" s="29" t="n">
        <v>300</v>
      </c>
      <c r="AE36" s="29" t="n">
        <v>300</v>
      </c>
      <c r="AF36" s="29" t="n">
        <v>300</v>
      </c>
      <c r="AG36" s="29" t="n">
        <v>300</v>
      </c>
      <c r="AH36" s="29" t="n">
        <v>300</v>
      </c>
      <c r="AI36" s="29" t="n">
        <v>300</v>
      </c>
      <c r="AJ36" s="29" t="n">
        <v>300</v>
      </c>
      <c r="AK36" s="29" t="n">
        <v>300</v>
      </c>
      <c r="AL36" s="29" t="n">
        <v>300</v>
      </c>
    </row>
    <row r="37">
      <c r="A37" t="n">
        <v>2</v>
      </c>
      <c r="B37" t="inlineStr">
        <is>
          <t>Upside Case</t>
        </is>
      </c>
      <c r="C37" s="19" t="n">
        <v>300</v>
      </c>
      <c r="D37" s="19" t="n">
        <v>300</v>
      </c>
      <c r="E37" s="19" t="n">
        <v>300</v>
      </c>
      <c r="F37" s="19" t="n">
        <v>300</v>
      </c>
      <c r="G37" s="19" t="n">
        <v>300</v>
      </c>
      <c r="H37" s="19" t="n">
        <v>300</v>
      </c>
      <c r="I37" s="19" t="n">
        <v>300</v>
      </c>
      <c r="J37" s="19" t="n">
        <v>300</v>
      </c>
      <c r="K37" s="19" t="n">
        <v>300</v>
      </c>
      <c r="L37" s="19" t="n">
        <v>300</v>
      </c>
      <c r="M37" s="19" t="n">
        <v>300</v>
      </c>
      <c r="N37" s="19" t="n">
        <v>300</v>
      </c>
      <c r="O37" s="19" t="n">
        <v>300</v>
      </c>
      <c r="P37" s="19" t="n">
        <v>300</v>
      </c>
      <c r="Q37" s="19" t="n">
        <v>300</v>
      </c>
      <c r="R37" s="19" t="n">
        <v>300</v>
      </c>
      <c r="S37" s="19" t="n">
        <v>300</v>
      </c>
      <c r="T37" s="19" t="n">
        <v>300</v>
      </c>
      <c r="U37" s="19" t="n">
        <v>300</v>
      </c>
      <c r="V37" s="19" t="n">
        <v>300</v>
      </c>
      <c r="W37" s="19" t="n">
        <v>300</v>
      </c>
      <c r="X37" s="19" t="n">
        <v>300</v>
      </c>
      <c r="Y37" s="19" t="n">
        <v>300</v>
      </c>
      <c r="Z37" s="19" t="n">
        <v>300</v>
      </c>
      <c r="AA37" s="19" t="n">
        <v>300</v>
      </c>
      <c r="AB37" s="19" t="n">
        <v>300</v>
      </c>
      <c r="AC37" s="19" t="n">
        <v>300</v>
      </c>
      <c r="AD37" s="19" t="n">
        <v>300</v>
      </c>
      <c r="AE37" s="19" t="n">
        <v>300</v>
      </c>
      <c r="AF37" s="19" t="n">
        <v>300</v>
      </c>
      <c r="AG37" s="19" t="n">
        <v>300</v>
      </c>
      <c r="AH37" s="19" t="n">
        <v>300</v>
      </c>
      <c r="AI37" s="19" t="n">
        <v>300</v>
      </c>
      <c r="AJ37" s="19" t="n">
        <v>300</v>
      </c>
      <c r="AK37" s="19" t="n">
        <v>300</v>
      </c>
      <c r="AL37" s="19" t="n">
        <v>300</v>
      </c>
    </row>
    <row r="38">
      <c r="A38" t="n">
        <v>3</v>
      </c>
      <c r="B38" t="inlineStr">
        <is>
          <t>Downside Case</t>
        </is>
      </c>
      <c r="C38" s="19" t="n">
        <v>300</v>
      </c>
      <c r="D38" s="19" t="n">
        <v>300</v>
      </c>
      <c r="E38" s="19" t="n">
        <v>300</v>
      </c>
      <c r="F38" s="19" t="n">
        <v>300</v>
      </c>
      <c r="G38" s="19" t="n">
        <v>300</v>
      </c>
      <c r="H38" s="19" t="n">
        <v>300</v>
      </c>
      <c r="I38" s="19" t="n">
        <v>300</v>
      </c>
      <c r="J38" s="19" t="n">
        <v>300</v>
      </c>
      <c r="K38" s="19" t="n">
        <v>300</v>
      </c>
      <c r="L38" s="19" t="n">
        <v>300</v>
      </c>
      <c r="M38" s="19" t="n">
        <v>300</v>
      </c>
      <c r="N38" s="19" t="n">
        <v>300</v>
      </c>
      <c r="O38" s="19" t="n">
        <v>300</v>
      </c>
      <c r="P38" s="19" t="n">
        <v>300</v>
      </c>
      <c r="Q38" s="19" t="n">
        <v>300</v>
      </c>
      <c r="R38" s="19" t="n">
        <v>300</v>
      </c>
      <c r="S38" s="19" t="n">
        <v>300</v>
      </c>
      <c r="T38" s="19" t="n">
        <v>300</v>
      </c>
      <c r="U38" s="19" t="n">
        <v>300</v>
      </c>
      <c r="V38" s="19" t="n">
        <v>300</v>
      </c>
      <c r="W38" s="19" t="n">
        <v>300</v>
      </c>
      <c r="X38" s="19" t="n">
        <v>300</v>
      </c>
      <c r="Y38" s="19" t="n">
        <v>300</v>
      </c>
      <c r="Z38" s="19" t="n">
        <v>300</v>
      </c>
      <c r="AA38" s="19" t="n">
        <v>300</v>
      </c>
      <c r="AB38" s="19" t="n">
        <v>300</v>
      </c>
      <c r="AC38" s="19" t="n">
        <v>300</v>
      </c>
      <c r="AD38" s="19" t="n">
        <v>300</v>
      </c>
      <c r="AE38" s="19" t="n">
        <v>300</v>
      </c>
      <c r="AF38" s="19" t="n">
        <v>300</v>
      </c>
      <c r="AG38" s="19" t="n">
        <v>300</v>
      </c>
      <c r="AH38" s="19" t="n">
        <v>300</v>
      </c>
      <c r="AI38" s="19" t="n">
        <v>300</v>
      </c>
      <c r="AJ38" s="19" t="n">
        <v>300</v>
      </c>
      <c r="AK38" s="19" t="n">
        <v>300</v>
      </c>
      <c r="AL38" s="19" t="n">
        <v>300</v>
      </c>
    </row>
    <row r="39">
      <c r="A39" t="n">
        <v>4</v>
      </c>
      <c r="B39" t="inlineStr">
        <is>
          <t>Upside-Upside Case</t>
        </is>
      </c>
      <c r="C39" s="20" t="n">
        <v>300</v>
      </c>
      <c r="D39" s="20" t="n">
        <v>300</v>
      </c>
      <c r="E39" s="20" t="n">
        <v>300</v>
      </c>
      <c r="F39" s="20" t="n">
        <v>300</v>
      </c>
      <c r="G39" s="20" t="n">
        <v>300</v>
      </c>
      <c r="H39" s="20" t="n">
        <v>300</v>
      </c>
      <c r="I39" s="20" t="n">
        <v>300</v>
      </c>
      <c r="J39" s="20" t="n">
        <v>300</v>
      </c>
      <c r="K39" s="20" t="n">
        <v>300</v>
      </c>
      <c r="L39" s="20" t="n">
        <v>300</v>
      </c>
      <c r="M39" s="20" t="n">
        <v>300</v>
      </c>
      <c r="N39" s="20" t="n">
        <v>300</v>
      </c>
      <c r="O39" s="20" t="n">
        <v>300</v>
      </c>
      <c r="P39" s="20" t="n">
        <v>300</v>
      </c>
      <c r="Q39" s="20" t="n">
        <v>300</v>
      </c>
      <c r="R39" s="20" t="n">
        <v>300</v>
      </c>
      <c r="S39" s="20" t="n">
        <v>300</v>
      </c>
      <c r="T39" s="20" t="n">
        <v>300</v>
      </c>
      <c r="U39" s="20" t="n">
        <v>300</v>
      </c>
      <c r="V39" s="20" t="n">
        <v>300</v>
      </c>
      <c r="W39" s="20" t="n">
        <v>300</v>
      </c>
      <c r="X39" s="20" t="n">
        <v>300</v>
      </c>
      <c r="Y39" s="20" t="n">
        <v>300</v>
      </c>
      <c r="Z39" s="20" t="n">
        <v>300</v>
      </c>
      <c r="AA39" s="20" t="n">
        <v>300</v>
      </c>
      <c r="AB39" s="20" t="n">
        <v>300</v>
      </c>
      <c r="AC39" s="20" t="n">
        <v>300</v>
      </c>
      <c r="AD39" s="20" t="n">
        <v>300</v>
      </c>
      <c r="AE39" s="20" t="n">
        <v>300</v>
      </c>
      <c r="AF39" s="20" t="n">
        <v>300</v>
      </c>
      <c r="AG39" s="20" t="n">
        <v>300</v>
      </c>
      <c r="AH39" s="20" t="n">
        <v>300</v>
      </c>
      <c r="AI39" s="20" t="n">
        <v>300</v>
      </c>
      <c r="AJ39" s="20" t="n">
        <v>300</v>
      </c>
      <c r="AK39" s="20" t="n">
        <v>300</v>
      </c>
      <c r="AL39" s="20" t="n">
        <v>300</v>
      </c>
    </row>
    <row r="41">
      <c r="B41" s="13" t="inlineStr">
        <is>
          <t>Unit Economics &amp; Fixed Costs</t>
        </is>
      </c>
    </row>
    <row r="42">
      <c r="B42" s="26" t="inlineStr">
        <is>
          <t>Pro subscription price / month ($) ← SET YOUR PRICE</t>
        </is>
      </c>
      <c r="C42" s="30" t="n">
        <v>0</v>
      </c>
    </row>
    <row r="43">
      <c r="B43" t="inlineStr">
        <is>
          <t>Stripe fee per charge ($)</t>
        </is>
      </c>
      <c r="C43" s="31" t="n">
        <v>0.735</v>
      </c>
    </row>
    <row r="44">
      <c r="B44" t="inlineStr">
        <is>
          <t>Composer COGS per run ($)</t>
        </is>
      </c>
      <c r="C44" s="31" t="n">
        <v>0.1</v>
      </c>
    </row>
    <row r="45">
      <c r="B45" t="inlineStr">
        <is>
          <t>Non-composer variable COGS / Pro / month ($)</t>
        </is>
      </c>
      <c r="C45" s="31" t="n">
        <v>0.7</v>
      </c>
    </row>
    <row r="46">
      <c r="B46" t="inlineStr">
        <is>
          <t>Free user lifetime COGS ($)</t>
        </is>
      </c>
      <c r="C46" s="31" t="n">
        <v>2.8</v>
      </c>
    </row>
    <row r="47">
      <c r="B47" t="inlineStr">
        <is>
          <t>Fixed infrastructure / month ($)</t>
        </is>
      </c>
      <c r="C47" s="30" t="n">
        <v>57</v>
      </c>
    </row>
    <row r="48">
      <c r="B48" t="inlineStr">
        <is>
          <t>Founder salary / month — Year 1 ($)</t>
        </is>
      </c>
      <c r="C48" s="30" t="n">
        <v>0</v>
      </c>
    </row>
    <row r="49">
      <c r="B49" t="inlineStr">
        <is>
          <t>Founder salary / month — Year 2 ($)</t>
        </is>
      </c>
      <c r="C49" s="30" t="n">
        <v>0</v>
      </c>
    </row>
    <row r="50">
      <c r="B50" t="inlineStr">
        <is>
          <t>Founder salary / month — Year 3 ($)</t>
        </is>
      </c>
      <c r="C50" s="30" t="n">
        <v>0</v>
      </c>
    </row>
    <row r="51">
      <c r="B51" t="inlineStr">
        <is>
          <t>Contract development / month ($)</t>
        </is>
      </c>
      <c r="C51" s="30" t="n">
        <v>0</v>
      </c>
    </row>
    <row r="52">
      <c r="B52" t="inlineStr">
        <is>
          <t>Legal &amp; accounting / month ($)</t>
        </is>
      </c>
      <c r="C52" s="30" t="n">
        <v>150</v>
      </c>
    </row>
    <row r="53">
      <c r="B53" s="26" t="inlineStr">
        <is>
          <t>Initial funding — Month 1 ($) ← FILL IN WHAT YOU HAVE IN THE BANK NOW</t>
        </is>
      </c>
      <c r="C53" s="30" t="n">
        <v>0</v>
      </c>
    </row>
    <row r="54">
      <c r="B54" s="22" t="inlineStr">
        <is>
          <t>Check: cumulative users (from Detailed Summary link)</t>
        </is>
      </c>
      <c r="C54" s="19" t="n">
        <v>5</v>
      </c>
    </row>
    <row r="55">
      <c r="B55" t="inlineStr">
        <is>
          <t>Upside-Upside target: 1,000,000 users at Month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2026-06-15T04:14:32Z</dcterms:created>
  <dcterms:modified xsi:type="dcterms:W3CDTF">2026-06-23T06:02:29Z</dcterms:modified>
  <cp:lastModifiedBy>Anne Jiao</cp:lastModifiedBy>
</cp:coreProperties>
</file>